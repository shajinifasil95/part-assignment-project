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14\Downloads\"/>
    </mc:Choice>
  </mc:AlternateContent>
  <xr:revisionPtr revIDLastSave="0" documentId="13_ncr:1_{71354841-9957-4B2E-829A-F81E4742A8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D49" i="2"/>
  <c r="D4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D46" i="2"/>
  <c r="D42" i="2"/>
  <c r="D41" i="2"/>
  <c r="D43" i="2"/>
</calcChain>
</file>

<file path=xl/sharedStrings.xml><?xml version="1.0" encoding="utf-8"?>
<sst xmlns="http://schemas.openxmlformats.org/spreadsheetml/2006/main" count="315" uniqueCount="127">
  <si>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</si>
  <si>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</si>
  <si>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</si>
  <si>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</si>
  <si>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</si>
  <si>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</si>
  <si>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</si>
  <si>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</si>
  <si>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</si>
  <si>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</si>
  <si>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</si>
  <si>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</si>
  <si>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</si>
  <si>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</si>
  <si>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</si>
  <si>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</si>
  <si>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</si>
  <si>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</si>
  <si>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</si>
  <si>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</si>
  <si>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</si>
  <si>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</si>
  <si>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</si>
  <si>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</si>
  <si>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</si>
  <si>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</si>
  <si>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</si>
  <si>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</si>
  <si>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</si>
  <si>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</si>
  <si>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</si>
  <si>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</si>
  <si>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</si>
  <si>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</si>
  <si>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</si>
  <si>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</si>
  <si>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</si>
  <si>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</si>
  <si>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</si>
  <si>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</si>
  <si>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</si>
  <si>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</si>
  <si>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</si>
  <si>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</si>
  <si>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</si>
  <si>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</si>
  <si>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</si>
  <si>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</si>
  <si>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</si>
  <si>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</si>
  <si>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</si>
  <si>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</si>
  <si>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</si>
  <si>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</si>
  <si>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</si>
  <si>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</si>
  <si>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</si>
  <si>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</si>
  <si>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</si>
  <si>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</si>
  <si>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</si>
  <si>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</si>
  <si>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</si>
  <si>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</si>
  <si>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</si>
  <si>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</si>
  <si>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</si>
  <si>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</si>
  <si>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</si>
  <si>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</si>
  <si>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</si>
  <si>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</si>
  <si>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</si>
  <si>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</si>
  <si>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</si>
  <si>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</si>
  <si>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</si>
  <si>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</si>
  <si>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</si>
  <si>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</si>
  <si>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</si>
  <si>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</si>
  <si>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</si>
  <si>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</si>
  <si>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</si>
  <si>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</si>
  <si>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</si>
  <si>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</si>
  <si>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</si>
  <si>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</si>
  <si>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</si>
  <si>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</si>
  <si>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</si>
  <si>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</si>
  <si>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</si>
  <si>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</si>
  <si>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</si>
  <si>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</si>
  <si>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</si>
  <si>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</si>
  <si>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</si>
  <si>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</si>
  <si>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</si>
  <si>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</si>
  <si>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</si>
  <si>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</si>
  <si>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</si>
  <si>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</si>
  <si>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</si>
  <si>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</si>
  <si>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</si>
  <si>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*</t>
  </si>
  <si>
    <t xml:space="preserve"> Products in the dataset</t>
  </si>
  <si>
    <t>SUM</t>
  </si>
  <si>
    <t>COUNT</t>
  </si>
  <si>
    <t>Average price of the product</t>
  </si>
  <si>
    <t>Maximum price of all products</t>
  </si>
  <si>
    <t>MAX</t>
  </si>
  <si>
    <t>MIN</t>
  </si>
  <si>
    <t>price range</t>
  </si>
  <si>
    <t>price in elecronics</t>
  </si>
  <si>
    <t>Count less than 100</t>
  </si>
  <si>
    <t>SUMIF</t>
  </si>
  <si>
    <t>COUNTIF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</si>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</sst>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/>
    <xf numFmtId="0" fontId="6" fillId="3" borderId="1" xfId="0" applyFont="1" applyFill="1" applyBorder="1"/>
    <xf numFmtId="0" fontId="6" fillId="0" borderId="2" xfId="0" applyFont="1" applyBorder="1"/>
    <xf numFmtId="0" fontId="0" fillId="0" borderId="4" xfId="0" applyBorder="1"/>
    <xf numFmtId="0" fontId="6" fillId="0" borderId="3" xfId="0" applyFont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3" borderId="3" xfId="0" applyFont="1" applyFill="1" applyBorder="1"/>
    <xf numFmtId="0" fontId="6" fillId="3" borderId="2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0" fillId="0" borderId="0" xfId="0" applyFont="1"/>
    <xf numFmtId="164" fontId="11" fillId="0" borderId="1" xfId="0" applyNumberFormat="1" applyFont="1" applyBorder="1"/>
    <xf numFmtId="165" fontId="5" fillId="2" borderId="5" xfId="0" applyNumberFormat="1" applyFont="1" applyFill="1" applyBorder="1" applyAlignment="1">
      <alignment horizontal="center"/>
    </xf>
    <xf numFmtId="165" fontId="6" fillId="0" borderId="1" xfId="0" applyNumberFormat="1" applyFont="1" applyBorder="1"/>
    <xf numFmtId="165" fontId="6" fillId="3" borderId="1" xfId="0" applyNumberFormat="1" applyFont="1" applyFill="1" applyBorder="1"/>
    <xf numFmtId="165" fontId="0" fillId="0" borderId="4" xfId="0" applyNumberFormat="1" applyBorder="1"/>
    <xf numFmtId="165" fontId="0" fillId="0" borderId="0" xfId="0" applyNumberFormat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6" xfId="0" applyFont="1" applyBorder="1"/>
    <xf numFmtId="0" fontId="11" fillId="0" borderId="1" xfId="0" applyFont="1" applyBorder="1"/>
    <xf numFmtId="0" fontId="6" fillId="0" borderId="5" xfId="0" applyFont="1" applyBorder="1"/>
    <xf numFmtId="0" fontId="7" fillId="2" borderId="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" fontId="8" fillId="0" borderId="0" xfId="0" applyNumberFormat="1" applyFont="1"/>
    <xf numFmtId="165" fontId="11" fillId="0" borderId="6" xfId="0" applyNumberFormat="1" applyFont="1" applyBorder="1"/>
  </cellXfs>
  <cellStyles count="1">
    <cellStyle name="Normal" xfId="0" builtinId="0"/>
  </cellStyles>
  <dxfs count="24">
    <dxf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 style="thin">
          <color indexed="64"/>
        </top>
        <bottom/>
      </border>
    </dxf>
    <dxf>
      <numFmt numFmtId="165" formatCode="_-[$$-409]* #,##0_ ;_-[$$-409]* \-#,##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A54C0-7F21-4B3A-85C3-9D4E4E0E9CD9}" name="Table1" displayName="Table1" ref="A1:J37" totalsRowCount="1" headerRowDxfId="23" headerRowBorderDxfId="22" tableBorderDxfId="21" totalsRowBorderDxfId="20">
  <autoFilter ref="A1:J36" xr:uid="{61BA54C0-7F21-4B3A-85C3-9D4E4E0E9CD9}"/>
  <tableColumns count="10">
    <tableColumn id="1" xr3:uid="{E831D3B5-4508-49BE-88CC-C71C27A71D81}" name="Product ID" dataDxfId="19" totalsRowDxfId="18"/>
    <tableColumn id="9" xr3:uid="{D137C644-2C78-474A-9562-C59284D87274}" name="DAY" dataDxfId="17" totalsRowDxfId="16">
      <calculatedColumnFormula>LEFT(A2,2)</calculatedColumnFormula>
    </tableColumn>
    <tableColumn id="10" xr3:uid="{9DCE9C5F-E736-4990-8617-97245A5FE8D4}" name="Country code" dataDxfId="15" totalsRowDxfId="14">
      <calculatedColumnFormula>RIGHT(A2,2)</calculatedColumnFormula>
    </tableColumn>
    <tableColumn id="11" xr3:uid="{9BDA7634-87BC-4CF8-8D6C-600E4E43A2FF}" name="MONTH" dataDxfId="13" totalsRowDxfId="12">
      <calculatedColumnFormula>MID(A2,4,3)</calculatedColumnFormula>
    </tableColumn>
    <tableColumn id="2" xr3:uid="{0EE5CDBE-BBA5-4F97-A8EE-5D946DD37DE6}" name="Product Name" dataDxfId="11" totalsRowDxfId="10"/>
    <tableColumn id="3" xr3:uid="{47248154-B660-4658-BF34-4FCBFB1CB964}" name="Brand Name" dataDxfId="9" totalsRowDxfId="8"/>
    <tableColumn id="4" xr3:uid="{B93C1201-217C-476C-8B49-7C103117DE4E}" name="Price ($)" dataDxfId="7" totalsRowDxfId="6"/>
    <tableColumn id="5" xr3:uid="{83CF2E07-63E7-465F-B60B-2AB2C64E0E28}" name="Quantity" dataDxfId="5" totalsRowDxfId="4"/>
    <tableColumn id="6" xr3:uid="{93D5C0C7-7E88-41F6-90B0-130E359AF1F5}" name="Category" dataDxfId="3" totalsRowDxfId="2"/>
    <tableColumn id="8" xr3:uid="{99D05163-065D-40C2-BC52-133C82590CCE}" name="price range" dataDxfId="1" totalsRowDxfId="0">
      <calculatedColumnFormula>IF(G2&gt;=500,"High price","Standard price")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topLeftCell="A22" workbookViewId="0">
      <selection activeCell="A48" sqref="A48"/>
    </sheetView>
  </sheetViews>
  <sheetFormatPr defaultColWidth="12.6640625" defaultRowHeight="15" customHeight="1" x14ac:dyDescent="0.25"/>
  <cols>
    <col min="1" max="4" width="18.33203125" customWidth="1"/>
    <col min="5" max="6" width="19.77734375" customWidth="1"/>
    <col min="7" max="7" width="15.77734375" style="27" customWidth="1"/>
    <col min="8" max="8" width="19.109375" customWidth="1"/>
    <col min="9" max="10" width="17" customWidth="1"/>
    <col min="11" max="13" width="12.77734375" customWidth="1"/>
  </cols>
  <sheetData>
    <row r="1" spans="1:12" ht="15.75" customHeight="1" x14ac:dyDescent="0.25">
      <c r="A1" s="13" t="s">
        <v>17</v>
      </c>
      <c r="B1" s="35" t="s">
        <v>124</v>
      </c>
      <c r="C1" s="35" t="s">
        <v>125</v>
      </c>
      <c r="D1" s="35" t="s">
        <v>126</v>
      </c>
      <c r="E1" s="14" t="s">
        <v>18</v>
      </c>
      <c r="F1" s="14" t="s">
        <v>19</v>
      </c>
      <c r="G1" s="23" t="s">
        <v>20</v>
      </c>
      <c r="H1" s="14" t="s">
        <v>21</v>
      </c>
      <c r="I1" s="15" t="s">
        <v>22</v>
      </c>
      <c r="J1" s="34" t="s">
        <v>119</v>
      </c>
      <c r="K1" s="10"/>
      <c r="L1" s="10"/>
    </row>
    <row r="2" spans="1:12" ht="15.75" customHeight="1" x14ac:dyDescent="0.25">
      <c r="A2" s="9" t="s">
        <v>23</v>
      </c>
      <c r="B2" s="9" t="str">
        <f t="shared" ref="B2:B36" si="0">LEFT(A2,2)</f>
        <v>28</v>
      </c>
      <c r="C2" s="9" t="str">
        <f t="shared" ref="C2:C36" si="1">RIGHT(A2,2)</f>
        <v>US</v>
      </c>
      <c r="D2" s="9" t="str">
        <f t="shared" ref="D2:D36" si="2">MID(A2,4,3)</f>
        <v>JAN</v>
      </c>
      <c r="E2" s="5" t="s">
        <v>24</v>
      </c>
      <c r="F2" s="5" t="s">
        <v>25</v>
      </c>
      <c r="G2" s="24">
        <v>1000</v>
      </c>
      <c r="H2" s="5">
        <v>30</v>
      </c>
      <c r="I2" s="7" t="s">
        <v>26</v>
      </c>
      <c r="J2" s="33" t="str">
        <f t="shared" ref="J2:J35" si="3">IF(G2&gt;=500,"High price","Standard price")</f>
        <v>High price</v>
      </c>
      <c r="K2" s="11"/>
      <c r="L2" s="11"/>
    </row>
    <row r="3" spans="1:12" ht="15.75" customHeight="1" x14ac:dyDescent="0.25">
      <c r="A3" s="16" t="s">
        <v>27</v>
      </c>
      <c r="B3" s="16" t="str">
        <f t="shared" si="0"/>
        <v>15</v>
      </c>
      <c r="C3" s="16" t="str">
        <f t="shared" si="1"/>
        <v>US</v>
      </c>
      <c r="D3" s="16" t="str">
        <f t="shared" si="2"/>
        <v>FEB</v>
      </c>
      <c r="E3" s="6" t="s">
        <v>28</v>
      </c>
      <c r="F3" s="6" t="s">
        <v>29</v>
      </c>
      <c r="G3" s="25">
        <v>80</v>
      </c>
      <c r="H3" s="6">
        <v>15</v>
      </c>
      <c r="I3" s="17" t="s">
        <v>30</v>
      </c>
      <c r="J3" s="6" t="str">
        <f t="shared" si="3"/>
        <v>Standard price</v>
      </c>
      <c r="K3" s="11"/>
      <c r="L3" s="11"/>
    </row>
    <row r="4" spans="1:12" ht="15.75" customHeight="1" x14ac:dyDescent="0.25">
      <c r="A4" s="9" t="s">
        <v>31</v>
      </c>
      <c r="B4" s="9" t="str">
        <f t="shared" si="0"/>
        <v>03</v>
      </c>
      <c r="C4" s="9" t="str">
        <f t="shared" si="1"/>
        <v>US</v>
      </c>
      <c r="D4" s="9" t="str">
        <f t="shared" si="2"/>
        <v>MAR</v>
      </c>
      <c r="E4" s="5" t="s">
        <v>32</v>
      </c>
      <c r="F4" s="5" t="s">
        <v>33</v>
      </c>
      <c r="G4" s="24">
        <v>130</v>
      </c>
      <c r="H4" s="5">
        <v>40</v>
      </c>
      <c r="I4" s="7" t="s">
        <v>34</v>
      </c>
      <c r="J4" s="5" t="str">
        <f t="shared" si="3"/>
        <v>Standard price</v>
      </c>
      <c r="K4" s="11"/>
      <c r="L4" s="11"/>
    </row>
    <row r="5" spans="1:12" ht="15.75" customHeight="1" x14ac:dyDescent="0.25">
      <c r="A5" s="16" t="s">
        <v>35</v>
      </c>
      <c r="B5" s="16" t="str">
        <f t="shared" si="0"/>
        <v>11</v>
      </c>
      <c r="C5" s="16" t="str">
        <f t="shared" si="1"/>
        <v>US</v>
      </c>
      <c r="D5" s="16" t="str">
        <f t="shared" si="2"/>
        <v>APR</v>
      </c>
      <c r="E5" s="6" t="s">
        <v>36</v>
      </c>
      <c r="F5" s="6" t="s">
        <v>37</v>
      </c>
      <c r="G5" s="25">
        <v>900</v>
      </c>
      <c r="H5" s="6">
        <v>25</v>
      </c>
      <c r="I5" s="17" t="s">
        <v>26</v>
      </c>
      <c r="J5" s="6" t="str">
        <f t="shared" si="3"/>
        <v>High price</v>
      </c>
      <c r="K5" s="11"/>
      <c r="L5" s="11"/>
    </row>
    <row r="6" spans="1:12" ht="15.75" customHeight="1" x14ac:dyDescent="0.25">
      <c r="A6" s="9" t="s">
        <v>38</v>
      </c>
      <c r="B6" s="9" t="str">
        <f t="shared" si="0"/>
        <v>22</v>
      </c>
      <c r="C6" s="9" t="str">
        <f t="shared" si="1"/>
        <v>US</v>
      </c>
      <c r="D6" s="9" t="str">
        <f t="shared" si="2"/>
        <v>MAY</v>
      </c>
      <c r="E6" s="5" t="s">
        <v>39</v>
      </c>
      <c r="F6" s="5" t="s">
        <v>40</v>
      </c>
      <c r="G6" s="24">
        <v>70</v>
      </c>
      <c r="H6" s="5">
        <v>20</v>
      </c>
      <c r="I6" s="7" t="s">
        <v>41</v>
      </c>
      <c r="J6" s="5" t="str">
        <f t="shared" si="3"/>
        <v>Standard price</v>
      </c>
      <c r="K6" s="11"/>
      <c r="L6" s="11"/>
    </row>
    <row r="7" spans="1:12" ht="15.75" customHeight="1" x14ac:dyDescent="0.25">
      <c r="A7" s="16" t="s">
        <v>42</v>
      </c>
      <c r="B7" s="16" t="str">
        <f t="shared" si="0"/>
        <v>07</v>
      </c>
      <c r="C7" s="16" t="str">
        <f t="shared" si="1"/>
        <v>UK</v>
      </c>
      <c r="D7" s="16" t="str">
        <f t="shared" si="2"/>
        <v>JUN</v>
      </c>
      <c r="E7" s="6" t="s">
        <v>43</v>
      </c>
      <c r="F7" s="6" t="s">
        <v>44</v>
      </c>
      <c r="G7" s="25">
        <v>200</v>
      </c>
      <c r="H7" s="6">
        <v>45</v>
      </c>
      <c r="I7" s="17" t="s">
        <v>26</v>
      </c>
      <c r="J7" s="6" t="str">
        <f t="shared" si="3"/>
        <v>Standard price</v>
      </c>
      <c r="K7" s="11"/>
      <c r="L7" s="11"/>
    </row>
    <row r="8" spans="1:12" ht="15.75" customHeight="1" x14ac:dyDescent="0.25">
      <c r="A8" s="9" t="s">
        <v>45</v>
      </c>
      <c r="B8" s="9" t="str">
        <f t="shared" si="0"/>
        <v>19</v>
      </c>
      <c r="C8" s="9" t="str">
        <f t="shared" si="1"/>
        <v>UK</v>
      </c>
      <c r="D8" s="9" t="str">
        <f t="shared" si="2"/>
        <v>JUL</v>
      </c>
      <c r="E8" s="5" t="s">
        <v>46</v>
      </c>
      <c r="F8" s="5" t="s">
        <v>47</v>
      </c>
      <c r="G8" s="24">
        <v>30</v>
      </c>
      <c r="H8" s="5">
        <v>5</v>
      </c>
      <c r="I8" s="7" t="s">
        <v>30</v>
      </c>
      <c r="J8" s="5" t="str">
        <f t="shared" si="3"/>
        <v>Standard price</v>
      </c>
      <c r="K8" s="11"/>
      <c r="L8" s="11"/>
    </row>
    <row r="9" spans="1:12" ht="15.75" customHeight="1" x14ac:dyDescent="0.25">
      <c r="A9" s="16" t="s">
        <v>48</v>
      </c>
      <c r="B9" s="16" t="str">
        <f t="shared" si="0"/>
        <v>23</v>
      </c>
      <c r="C9" s="16" t="str">
        <f t="shared" si="1"/>
        <v>UK</v>
      </c>
      <c r="D9" s="16" t="str">
        <f t="shared" si="2"/>
        <v>AUG</v>
      </c>
      <c r="E9" s="6" t="s">
        <v>49</v>
      </c>
      <c r="F9" s="6" t="s">
        <v>50</v>
      </c>
      <c r="G9" s="25">
        <v>90</v>
      </c>
      <c r="H9" s="6">
        <v>35</v>
      </c>
      <c r="I9" s="17" t="s">
        <v>34</v>
      </c>
      <c r="J9" s="6" t="str">
        <f t="shared" si="3"/>
        <v>Standard price</v>
      </c>
      <c r="K9" s="11"/>
      <c r="L9" s="11"/>
    </row>
    <row r="10" spans="1:12" ht="15.75" customHeight="1" x14ac:dyDescent="0.25">
      <c r="A10" s="9" t="s">
        <v>51</v>
      </c>
      <c r="B10" s="9" t="str">
        <f t="shared" si="0"/>
        <v>05</v>
      </c>
      <c r="C10" s="9" t="str">
        <f t="shared" si="1"/>
        <v>UK</v>
      </c>
      <c r="D10" s="9" t="str">
        <f t="shared" si="2"/>
        <v>SEP</v>
      </c>
      <c r="E10" s="5" t="s">
        <v>52</v>
      </c>
      <c r="F10" s="5" t="s">
        <v>53</v>
      </c>
      <c r="G10" s="24">
        <v>500</v>
      </c>
      <c r="H10" s="5">
        <v>50</v>
      </c>
      <c r="I10" s="7" t="s">
        <v>26</v>
      </c>
      <c r="J10" s="5" t="str">
        <f t="shared" si="3"/>
        <v>High price</v>
      </c>
      <c r="K10" s="11"/>
      <c r="L10" s="11"/>
    </row>
    <row r="11" spans="1:12" ht="15.75" customHeight="1" x14ac:dyDescent="0.25">
      <c r="A11" s="16" t="s">
        <v>54</v>
      </c>
      <c r="B11" s="16" t="str">
        <f t="shared" si="0"/>
        <v>14</v>
      </c>
      <c r="C11" s="16" t="str">
        <f t="shared" si="1"/>
        <v>UK</v>
      </c>
      <c r="D11" s="16" t="str">
        <f t="shared" si="2"/>
        <v>OCT</v>
      </c>
      <c r="E11" s="6" t="s">
        <v>55</v>
      </c>
      <c r="F11" s="6" t="s">
        <v>56</v>
      </c>
      <c r="G11" s="25">
        <v>130</v>
      </c>
      <c r="H11" s="6">
        <v>10</v>
      </c>
      <c r="I11" s="17" t="s">
        <v>41</v>
      </c>
      <c r="J11" s="6" t="str">
        <f t="shared" si="3"/>
        <v>Standard price</v>
      </c>
      <c r="K11" s="11"/>
      <c r="L11" s="11"/>
    </row>
    <row r="12" spans="1:12" ht="15.75" customHeight="1" x14ac:dyDescent="0.25">
      <c r="A12" s="9" t="s">
        <v>57</v>
      </c>
      <c r="B12" s="9" t="str">
        <f t="shared" si="0"/>
        <v>17</v>
      </c>
      <c r="C12" s="9" t="str">
        <f t="shared" si="1"/>
        <v>IN</v>
      </c>
      <c r="D12" s="9" t="str">
        <f t="shared" si="2"/>
        <v>JUN</v>
      </c>
      <c r="E12" s="5" t="s">
        <v>24</v>
      </c>
      <c r="F12" s="5" t="s">
        <v>58</v>
      </c>
      <c r="G12" s="24">
        <v>950</v>
      </c>
      <c r="H12" s="5">
        <v>25</v>
      </c>
      <c r="I12" s="7" t="s">
        <v>26</v>
      </c>
      <c r="J12" s="5" t="str">
        <f t="shared" si="3"/>
        <v>High price</v>
      </c>
      <c r="K12" s="11"/>
      <c r="L12" s="11"/>
    </row>
    <row r="13" spans="1:12" ht="15.75" customHeight="1" x14ac:dyDescent="0.25">
      <c r="A13" s="16" t="s">
        <v>59</v>
      </c>
      <c r="B13" s="16" t="str">
        <f t="shared" si="0"/>
        <v>25</v>
      </c>
      <c r="C13" s="16" t="str">
        <f t="shared" si="1"/>
        <v>AU</v>
      </c>
      <c r="D13" s="16" t="str">
        <f t="shared" si="2"/>
        <v>NOV</v>
      </c>
      <c r="E13" s="6" t="s">
        <v>28</v>
      </c>
      <c r="F13" s="6" t="s">
        <v>47</v>
      </c>
      <c r="G13" s="25">
        <v>90</v>
      </c>
      <c r="H13" s="6">
        <v>40</v>
      </c>
      <c r="I13" s="17" t="s">
        <v>30</v>
      </c>
      <c r="J13" s="6" t="str">
        <f t="shared" si="3"/>
        <v>Standard price</v>
      </c>
      <c r="K13" s="11"/>
      <c r="L13" s="11"/>
    </row>
    <row r="14" spans="1:12" ht="15.75" customHeight="1" x14ac:dyDescent="0.25">
      <c r="A14" s="9" t="s">
        <v>60</v>
      </c>
      <c r="B14" s="9" t="str">
        <f t="shared" si="0"/>
        <v>08</v>
      </c>
      <c r="C14" s="9" t="str">
        <f t="shared" si="1"/>
        <v>DE</v>
      </c>
      <c r="D14" s="9" t="str">
        <f t="shared" si="2"/>
        <v>DEC</v>
      </c>
      <c r="E14" s="5" t="s">
        <v>32</v>
      </c>
      <c r="F14" s="5" t="s">
        <v>61</v>
      </c>
      <c r="G14" s="24">
        <v>120</v>
      </c>
      <c r="H14" s="5">
        <v>35</v>
      </c>
      <c r="I14" s="7" t="s">
        <v>34</v>
      </c>
      <c r="J14" s="5" t="str">
        <f t="shared" si="3"/>
        <v>Standard price</v>
      </c>
      <c r="K14" s="11"/>
      <c r="L14" s="11"/>
    </row>
    <row r="15" spans="1:12" ht="15.75" customHeight="1" x14ac:dyDescent="0.25">
      <c r="A15" s="16" t="s">
        <v>62</v>
      </c>
      <c r="B15" s="16" t="str">
        <f t="shared" si="0"/>
        <v>18</v>
      </c>
      <c r="C15" s="16" t="str">
        <f t="shared" si="1"/>
        <v>CA</v>
      </c>
      <c r="D15" s="16" t="str">
        <f t="shared" si="2"/>
        <v>FEB</v>
      </c>
      <c r="E15" s="6" t="s">
        <v>63</v>
      </c>
      <c r="F15" s="6" t="s">
        <v>64</v>
      </c>
      <c r="G15" s="25">
        <v>150</v>
      </c>
      <c r="H15" s="6">
        <v>15</v>
      </c>
      <c r="I15" s="17" t="s">
        <v>26</v>
      </c>
      <c r="J15" s="6" t="str">
        <f t="shared" si="3"/>
        <v>Standard price</v>
      </c>
      <c r="K15" s="11"/>
      <c r="L15" s="11"/>
    </row>
    <row r="16" spans="1:12" ht="15.75" customHeight="1" x14ac:dyDescent="0.25">
      <c r="A16" s="9" t="s">
        <v>65</v>
      </c>
      <c r="B16" s="9" t="str">
        <f t="shared" si="0"/>
        <v>16</v>
      </c>
      <c r="C16" s="9" t="str">
        <f t="shared" si="1"/>
        <v>ES</v>
      </c>
      <c r="D16" s="9" t="str">
        <f t="shared" si="2"/>
        <v>APR</v>
      </c>
      <c r="E16" s="5" t="s">
        <v>43</v>
      </c>
      <c r="F16" s="5" t="s">
        <v>66</v>
      </c>
      <c r="G16" s="24">
        <v>250</v>
      </c>
      <c r="H16" s="5">
        <v>20</v>
      </c>
      <c r="I16" s="7" t="s">
        <v>26</v>
      </c>
      <c r="J16" s="5" t="str">
        <f t="shared" si="3"/>
        <v>Standard price</v>
      </c>
      <c r="K16" s="11"/>
      <c r="L16" s="11"/>
    </row>
    <row r="17" spans="1:12" ht="15.75" customHeight="1" x14ac:dyDescent="0.25">
      <c r="A17" s="16" t="s">
        <v>67</v>
      </c>
      <c r="B17" s="16" t="str">
        <f t="shared" si="0"/>
        <v>21</v>
      </c>
      <c r="C17" s="16" t="str">
        <f t="shared" si="1"/>
        <v>CA</v>
      </c>
      <c r="D17" s="16" t="str">
        <f t="shared" si="2"/>
        <v>AUG</v>
      </c>
      <c r="E17" s="6" t="s">
        <v>68</v>
      </c>
      <c r="F17" s="6" t="s">
        <v>69</v>
      </c>
      <c r="G17" s="25">
        <v>50</v>
      </c>
      <c r="H17" s="6">
        <v>35</v>
      </c>
      <c r="I17" s="17" t="s">
        <v>70</v>
      </c>
      <c r="J17" s="6" t="str">
        <f t="shared" si="3"/>
        <v>Standard price</v>
      </c>
      <c r="K17" s="11"/>
      <c r="L17" s="11"/>
    </row>
    <row r="18" spans="1:12" ht="15.75" customHeight="1" x14ac:dyDescent="0.25">
      <c r="A18" s="9" t="s">
        <v>71</v>
      </c>
      <c r="B18" s="9" t="str">
        <f t="shared" si="0"/>
        <v>20</v>
      </c>
      <c r="C18" s="9" t="str">
        <f t="shared" si="1"/>
        <v>CN</v>
      </c>
      <c r="D18" s="9" t="str">
        <f t="shared" si="2"/>
        <v>AUG</v>
      </c>
      <c r="E18" s="5" t="s">
        <v>63</v>
      </c>
      <c r="F18" s="5" t="s">
        <v>72</v>
      </c>
      <c r="G18" s="24">
        <v>160</v>
      </c>
      <c r="H18" s="5">
        <v>15</v>
      </c>
      <c r="I18" s="7" t="s">
        <v>26</v>
      </c>
      <c r="J18" s="5" t="str">
        <f t="shared" si="3"/>
        <v>Standard price</v>
      </c>
      <c r="K18" s="11"/>
      <c r="L18" s="11"/>
    </row>
    <row r="19" spans="1:12" ht="15.75" customHeight="1" x14ac:dyDescent="0.25">
      <c r="A19" s="16" t="s">
        <v>73</v>
      </c>
      <c r="B19" s="16" t="str">
        <f t="shared" si="0"/>
        <v>27</v>
      </c>
      <c r="C19" s="16" t="str">
        <f t="shared" si="1"/>
        <v>IT</v>
      </c>
      <c r="D19" s="16" t="str">
        <f t="shared" si="2"/>
        <v>JAN</v>
      </c>
      <c r="E19" s="6" t="s">
        <v>24</v>
      </c>
      <c r="F19" s="6" t="s">
        <v>74</v>
      </c>
      <c r="G19" s="25">
        <v>980</v>
      </c>
      <c r="H19" s="6">
        <v>10</v>
      </c>
      <c r="I19" s="17" t="s">
        <v>26</v>
      </c>
      <c r="J19" s="6" t="str">
        <f t="shared" si="3"/>
        <v>High price</v>
      </c>
      <c r="K19" s="11"/>
      <c r="L19" s="11"/>
    </row>
    <row r="20" spans="1:12" ht="15.75" customHeight="1" x14ac:dyDescent="0.25">
      <c r="A20" s="9" t="s">
        <v>75</v>
      </c>
      <c r="B20" s="9" t="str">
        <f t="shared" si="0"/>
        <v>01</v>
      </c>
      <c r="C20" s="9" t="str">
        <f t="shared" si="1"/>
        <v>UK</v>
      </c>
      <c r="D20" s="9" t="str">
        <f t="shared" si="2"/>
        <v>MAR</v>
      </c>
      <c r="E20" s="5" t="s">
        <v>76</v>
      </c>
      <c r="F20" s="5" t="s">
        <v>77</v>
      </c>
      <c r="G20" s="24">
        <v>150</v>
      </c>
      <c r="H20" s="5">
        <v>15</v>
      </c>
      <c r="I20" s="7" t="s">
        <v>30</v>
      </c>
      <c r="J20" s="5" t="str">
        <f t="shared" si="3"/>
        <v>Standard price</v>
      </c>
      <c r="K20" s="11"/>
      <c r="L20" s="11"/>
    </row>
    <row r="21" spans="1:12" ht="15.75" customHeight="1" x14ac:dyDescent="0.25">
      <c r="A21" s="16" t="s">
        <v>78</v>
      </c>
      <c r="B21" s="16" t="str">
        <f t="shared" si="0"/>
        <v>14</v>
      </c>
      <c r="C21" s="16" t="str">
        <f t="shared" si="1"/>
        <v>US</v>
      </c>
      <c r="D21" s="16" t="str">
        <f t="shared" si="2"/>
        <v>AUG</v>
      </c>
      <c r="E21" s="6" t="s">
        <v>79</v>
      </c>
      <c r="F21" s="6" t="s">
        <v>80</v>
      </c>
      <c r="G21" s="25">
        <v>200</v>
      </c>
      <c r="H21" s="6">
        <v>10</v>
      </c>
      <c r="I21" s="17" t="s">
        <v>41</v>
      </c>
      <c r="J21" s="6" t="str">
        <f t="shared" si="3"/>
        <v>Standard price</v>
      </c>
      <c r="K21" s="11"/>
      <c r="L21" s="11"/>
    </row>
    <row r="22" spans="1:12" ht="15.75" customHeight="1" x14ac:dyDescent="0.25">
      <c r="A22" s="9" t="s">
        <v>81</v>
      </c>
      <c r="B22" s="9" t="str">
        <f t="shared" si="0"/>
        <v>14</v>
      </c>
      <c r="C22" s="9" t="str">
        <f t="shared" si="1"/>
        <v>RU</v>
      </c>
      <c r="D22" s="9" t="str">
        <f t="shared" si="2"/>
        <v>MAY</v>
      </c>
      <c r="E22" s="5" t="s">
        <v>82</v>
      </c>
      <c r="F22" s="5" t="s">
        <v>83</v>
      </c>
      <c r="G22" s="24">
        <v>700</v>
      </c>
      <c r="H22" s="5">
        <v>50</v>
      </c>
      <c r="I22" s="7" t="s">
        <v>26</v>
      </c>
      <c r="J22" s="5" t="str">
        <f t="shared" si="3"/>
        <v>High price</v>
      </c>
      <c r="K22" s="11"/>
      <c r="L22" s="11"/>
    </row>
    <row r="23" spans="1:12" ht="15.75" customHeight="1" x14ac:dyDescent="0.25">
      <c r="A23" s="16" t="s">
        <v>84</v>
      </c>
      <c r="B23" s="16" t="str">
        <f t="shared" si="0"/>
        <v>09</v>
      </c>
      <c r="C23" s="16" t="str">
        <f t="shared" si="1"/>
        <v>CA</v>
      </c>
      <c r="D23" s="16" t="str">
        <f t="shared" si="2"/>
        <v>JAN</v>
      </c>
      <c r="E23" s="6" t="s">
        <v>85</v>
      </c>
      <c r="F23" s="6" t="s">
        <v>86</v>
      </c>
      <c r="G23" s="25">
        <v>80</v>
      </c>
      <c r="H23" s="6">
        <v>20</v>
      </c>
      <c r="I23" s="17" t="s">
        <v>34</v>
      </c>
      <c r="J23" s="6" t="str">
        <f t="shared" si="3"/>
        <v>Standard price</v>
      </c>
      <c r="K23" s="11"/>
      <c r="L23" s="11"/>
    </row>
    <row r="24" spans="1:12" ht="15.75" customHeight="1" x14ac:dyDescent="0.25">
      <c r="A24" s="9" t="s">
        <v>87</v>
      </c>
      <c r="B24" s="9" t="str">
        <f t="shared" si="0"/>
        <v>19</v>
      </c>
      <c r="C24" s="9" t="str">
        <f t="shared" si="1"/>
        <v>BR</v>
      </c>
      <c r="D24" s="9" t="str">
        <f t="shared" si="2"/>
        <v>JUL</v>
      </c>
      <c r="E24" s="5" t="s">
        <v>88</v>
      </c>
      <c r="F24" s="5" t="s">
        <v>89</v>
      </c>
      <c r="G24" s="24">
        <v>150</v>
      </c>
      <c r="H24" s="5">
        <v>30</v>
      </c>
      <c r="I24" s="7" t="s">
        <v>26</v>
      </c>
      <c r="J24" s="5" t="str">
        <f t="shared" si="3"/>
        <v>Standard price</v>
      </c>
      <c r="K24" s="11"/>
      <c r="L24" s="11"/>
    </row>
    <row r="25" spans="1:12" ht="15.75" customHeight="1" x14ac:dyDescent="0.25">
      <c r="A25" s="16" t="s">
        <v>67</v>
      </c>
      <c r="B25" s="16" t="str">
        <f t="shared" si="0"/>
        <v>21</v>
      </c>
      <c r="C25" s="16" t="str">
        <f t="shared" si="1"/>
        <v>CA</v>
      </c>
      <c r="D25" s="16" t="str">
        <f t="shared" si="2"/>
        <v>AUG</v>
      </c>
      <c r="E25" s="6" t="s">
        <v>68</v>
      </c>
      <c r="F25" s="6" t="s">
        <v>69</v>
      </c>
      <c r="G25" s="25">
        <v>50</v>
      </c>
      <c r="H25" s="6">
        <v>35</v>
      </c>
      <c r="I25" s="17" t="s">
        <v>70</v>
      </c>
      <c r="J25" s="6" t="str">
        <f t="shared" si="3"/>
        <v>Standard price</v>
      </c>
      <c r="K25" s="12"/>
      <c r="L25" s="12"/>
    </row>
    <row r="26" spans="1:12" ht="15.75" customHeight="1" x14ac:dyDescent="0.25">
      <c r="A26" s="9" t="s">
        <v>90</v>
      </c>
      <c r="B26" s="9" t="str">
        <f t="shared" si="0"/>
        <v>29</v>
      </c>
      <c r="C26" s="9" t="str">
        <f t="shared" si="1"/>
        <v>CA</v>
      </c>
      <c r="D26" s="9" t="str">
        <f t="shared" si="2"/>
        <v>SEP</v>
      </c>
      <c r="E26" s="5" t="s">
        <v>36</v>
      </c>
      <c r="F26" s="5" t="s">
        <v>91</v>
      </c>
      <c r="G26" s="24">
        <v>800</v>
      </c>
      <c r="H26" s="5">
        <v>45</v>
      </c>
      <c r="I26" s="7" t="s">
        <v>26</v>
      </c>
      <c r="J26" s="5" t="str">
        <f t="shared" si="3"/>
        <v>High price</v>
      </c>
      <c r="K26" s="11"/>
      <c r="L26" s="11"/>
    </row>
    <row r="27" spans="1:12" ht="15.75" customHeight="1" x14ac:dyDescent="0.25">
      <c r="A27" s="16" t="s">
        <v>92</v>
      </c>
      <c r="B27" s="16" t="str">
        <f t="shared" si="0"/>
        <v>03</v>
      </c>
      <c r="C27" s="16" t="str">
        <f t="shared" si="1"/>
        <v>CA</v>
      </c>
      <c r="D27" s="16" t="str">
        <f t="shared" si="2"/>
        <v>JUN</v>
      </c>
      <c r="E27" s="6" t="s">
        <v>76</v>
      </c>
      <c r="F27" s="6" t="s">
        <v>93</v>
      </c>
      <c r="G27" s="25">
        <v>130</v>
      </c>
      <c r="H27" s="6">
        <v>25</v>
      </c>
      <c r="I27" s="17" t="s">
        <v>30</v>
      </c>
      <c r="J27" s="6" t="str">
        <f t="shared" si="3"/>
        <v>Standard price</v>
      </c>
      <c r="K27" s="11"/>
      <c r="L27" s="11"/>
    </row>
    <row r="28" spans="1:12" ht="15.75" customHeight="1" x14ac:dyDescent="0.25">
      <c r="A28" s="9" t="s">
        <v>94</v>
      </c>
      <c r="B28" s="9" t="str">
        <f t="shared" si="0"/>
        <v>11</v>
      </c>
      <c r="C28" s="9" t="str">
        <f t="shared" si="1"/>
        <v>CA</v>
      </c>
      <c r="D28" s="9" t="str">
        <f t="shared" si="2"/>
        <v>JUL</v>
      </c>
      <c r="E28" s="5" t="s">
        <v>49</v>
      </c>
      <c r="F28" s="5" t="s">
        <v>95</v>
      </c>
      <c r="G28" s="24">
        <v>400</v>
      </c>
      <c r="H28" s="5">
        <v>40</v>
      </c>
      <c r="I28" s="7" t="s">
        <v>34</v>
      </c>
      <c r="J28" s="5" t="str">
        <f t="shared" si="3"/>
        <v>Standard price</v>
      </c>
      <c r="K28" s="11"/>
      <c r="L28" s="11"/>
    </row>
    <row r="29" spans="1:12" ht="15.75" customHeight="1" x14ac:dyDescent="0.25">
      <c r="A29" s="16" t="s">
        <v>65</v>
      </c>
      <c r="B29" s="16" t="str">
        <f t="shared" si="0"/>
        <v>16</v>
      </c>
      <c r="C29" s="16" t="str">
        <f t="shared" si="1"/>
        <v>ES</v>
      </c>
      <c r="D29" s="16" t="str">
        <f t="shared" si="2"/>
        <v>APR</v>
      </c>
      <c r="E29" s="6" t="s">
        <v>43</v>
      </c>
      <c r="F29" s="6" t="s">
        <v>66</v>
      </c>
      <c r="G29" s="25">
        <v>230</v>
      </c>
      <c r="H29" s="6">
        <v>20</v>
      </c>
      <c r="I29" s="17" t="s">
        <v>26</v>
      </c>
      <c r="J29" s="6" t="str">
        <f t="shared" si="3"/>
        <v>Standard price</v>
      </c>
      <c r="K29" s="12"/>
      <c r="L29" s="12"/>
    </row>
    <row r="30" spans="1:12" ht="15.75" customHeight="1" x14ac:dyDescent="0.25">
      <c r="A30" s="9" t="s">
        <v>96</v>
      </c>
      <c r="B30" s="9" t="str">
        <f t="shared" si="0"/>
        <v>07</v>
      </c>
      <c r="C30" s="9" t="str">
        <f t="shared" si="1"/>
        <v>CA</v>
      </c>
      <c r="D30" s="9" t="str">
        <f t="shared" si="2"/>
        <v>MAR</v>
      </c>
      <c r="E30" s="5" t="s">
        <v>97</v>
      </c>
      <c r="F30" s="5" t="s">
        <v>98</v>
      </c>
      <c r="G30" s="24">
        <v>60</v>
      </c>
      <c r="H30" s="5">
        <v>30</v>
      </c>
      <c r="I30" s="7" t="s">
        <v>30</v>
      </c>
      <c r="J30" s="5" t="str">
        <f t="shared" si="3"/>
        <v>Standard price</v>
      </c>
      <c r="K30" s="11"/>
      <c r="L30" s="11"/>
    </row>
    <row r="31" spans="1:12" ht="15.75" customHeight="1" x14ac:dyDescent="0.25">
      <c r="A31" s="16" t="s">
        <v>99</v>
      </c>
      <c r="B31" s="16" t="str">
        <f t="shared" si="0"/>
        <v>13</v>
      </c>
      <c r="C31" s="16" t="str">
        <f t="shared" si="1"/>
        <v>CA</v>
      </c>
      <c r="D31" s="16" t="str">
        <f t="shared" si="2"/>
        <v>APR</v>
      </c>
      <c r="E31" s="6" t="s">
        <v>100</v>
      </c>
      <c r="F31" s="6" t="s">
        <v>101</v>
      </c>
      <c r="G31" s="25">
        <v>40</v>
      </c>
      <c r="H31" s="6">
        <v>10</v>
      </c>
      <c r="I31" s="17" t="s">
        <v>34</v>
      </c>
      <c r="J31" s="6" t="str">
        <f t="shared" si="3"/>
        <v>Standard price</v>
      </c>
      <c r="K31" s="11"/>
      <c r="L31" s="11"/>
    </row>
    <row r="32" spans="1:12" ht="15.75" customHeight="1" x14ac:dyDescent="0.25">
      <c r="A32" s="9" t="s">
        <v>102</v>
      </c>
      <c r="B32" s="9" t="str">
        <f t="shared" si="0"/>
        <v>24</v>
      </c>
      <c r="C32" s="9" t="str">
        <f t="shared" si="1"/>
        <v>CA</v>
      </c>
      <c r="D32" s="9" t="str">
        <f t="shared" si="2"/>
        <v>MAY</v>
      </c>
      <c r="E32" s="5" t="s">
        <v>88</v>
      </c>
      <c r="F32" s="5" t="s">
        <v>103</v>
      </c>
      <c r="G32" s="24">
        <v>130</v>
      </c>
      <c r="H32" s="5">
        <v>5</v>
      </c>
      <c r="I32" s="7" t="s">
        <v>26</v>
      </c>
      <c r="J32" s="5" t="str">
        <f t="shared" si="3"/>
        <v>Standard price</v>
      </c>
      <c r="K32" s="11"/>
      <c r="L32" s="11"/>
    </row>
    <row r="33" spans="1:12" ht="15.75" customHeight="1" x14ac:dyDescent="0.25">
      <c r="A33" s="16" t="s">
        <v>104</v>
      </c>
      <c r="B33" s="16" t="str">
        <f t="shared" si="0"/>
        <v>02</v>
      </c>
      <c r="C33" s="16" t="str">
        <f t="shared" si="1"/>
        <v>CA</v>
      </c>
      <c r="D33" s="16" t="str">
        <f t="shared" si="2"/>
        <v>DEC</v>
      </c>
      <c r="E33" s="6" t="s">
        <v>105</v>
      </c>
      <c r="F33" s="6" t="s">
        <v>106</v>
      </c>
      <c r="G33" s="25">
        <v>50</v>
      </c>
      <c r="H33" s="6">
        <v>50</v>
      </c>
      <c r="I33" s="17" t="s">
        <v>30</v>
      </c>
      <c r="J33" s="6" t="str">
        <f t="shared" si="3"/>
        <v>Standard price</v>
      </c>
      <c r="K33" s="11"/>
      <c r="L33" s="11"/>
    </row>
    <row r="34" spans="1:12" ht="15.75" customHeight="1" x14ac:dyDescent="0.25">
      <c r="A34" s="9" t="s">
        <v>57</v>
      </c>
      <c r="B34" s="9" t="str">
        <f t="shared" si="0"/>
        <v>17</v>
      </c>
      <c r="C34" s="9" t="str">
        <f t="shared" si="1"/>
        <v>IN</v>
      </c>
      <c r="D34" s="9" t="str">
        <f t="shared" si="2"/>
        <v>JUN</v>
      </c>
      <c r="E34" s="5" t="s">
        <v>24</v>
      </c>
      <c r="F34" s="5" t="s">
        <v>58</v>
      </c>
      <c r="G34" s="24">
        <v>950</v>
      </c>
      <c r="H34" s="5">
        <v>25</v>
      </c>
      <c r="I34" s="7" t="s">
        <v>26</v>
      </c>
      <c r="J34" s="5" t="str">
        <f t="shared" si="3"/>
        <v>High price</v>
      </c>
      <c r="K34" s="11"/>
      <c r="L34" s="11"/>
    </row>
    <row r="35" spans="1:12" ht="15.75" customHeight="1" x14ac:dyDescent="0.25">
      <c r="A35" s="16" t="s">
        <v>107</v>
      </c>
      <c r="B35" s="16" t="str">
        <f t="shared" si="0"/>
        <v>09</v>
      </c>
      <c r="C35" s="16" t="str">
        <f t="shared" si="1"/>
        <v>FR</v>
      </c>
      <c r="D35" s="16" t="str">
        <f t="shared" si="2"/>
        <v>JUL</v>
      </c>
      <c r="E35" s="6" t="s">
        <v>108</v>
      </c>
      <c r="F35" s="6" t="s">
        <v>109</v>
      </c>
      <c r="G35" s="25">
        <v>100</v>
      </c>
      <c r="H35" s="6">
        <v>20</v>
      </c>
      <c r="I35" s="17" t="s">
        <v>70</v>
      </c>
      <c r="J35" s="6" t="str">
        <f t="shared" si="3"/>
        <v>Standard price</v>
      </c>
      <c r="K35" s="11"/>
      <c r="L35" s="11"/>
    </row>
    <row r="36" spans="1:12" ht="15.75" customHeight="1" x14ac:dyDescent="0.25">
      <c r="A36" s="18"/>
      <c r="B36" s="18" t="str">
        <f t="shared" si="0"/>
        <v/>
      </c>
      <c r="C36" s="18" t="str">
        <f t="shared" si="1"/>
        <v/>
      </c>
      <c r="D36" s="18" t="str">
        <f t="shared" si="2"/>
        <v/>
      </c>
      <c r="E36" s="8"/>
      <c r="F36" s="8"/>
      <c r="G36" s="26"/>
      <c r="H36" s="8"/>
      <c r="I36" s="19"/>
      <c r="J36" s="8"/>
    </row>
    <row r="37" spans="1:12" ht="15.75" customHeight="1" x14ac:dyDescent="0.25">
      <c r="A37" s="18"/>
      <c r="B37" s="18"/>
      <c r="C37" s="18"/>
      <c r="D37" s="18"/>
      <c r="E37" s="20"/>
      <c r="F37" s="8"/>
      <c r="G37" s="20"/>
      <c r="H37" s="8"/>
      <c r="I37" s="19"/>
      <c r="J37" s="20"/>
    </row>
    <row r="38" spans="1:12" ht="15.75" customHeight="1" x14ac:dyDescent="0.25"/>
    <row r="39" spans="1:12" ht="15.75" customHeight="1" x14ac:dyDescent="0.25"/>
    <row r="40" spans="1:12" ht="15.75" customHeight="1" x14ac:dyDescent="0.25">
      <c r="G40"/>
    </row>
    <row r="41" spans="1:12" ht="19.8" customHeight="1" x14ac:dyDescent="0.3">
      <c r="A41" s="29" t="s">
        <v>111</v>
      </c>
      <c r="B41" s="21" t="s">
        <v>110</v>
      </c>
      <c r="C41" s="28" t="s">
        <v>113</v>
      </c>
      <c r="D41" s="22">
        <f>SUM(G2:G35)</f>
        <v>10100</v>
      </c>
    </row>
    <row r="42" spans="1:12" ht="22.8" customHeight="1" x14ac:dyDescent="0.25">
      <c r="B42" s="21" t="s">
        <v>112</v>
      </c>
      <c r="C42" s="28" t="s">
        <v>114</v>
      </c>
      <c r="D42" s="32">
        <f>COUNTA(Table1[Product Name])</f>
        <v>34</v>
      </c>
    </row>
    <row r="43" spans="1:12" ht="25.2" customHeight="1" x14ac:dyDescent="0.25">
      <c r="B43" s="21" t="s">
        <v>115</v>
      </c>
      <c r="C43" s="30"/>
      <c r="D43" s="37">
        <f>AVERAGE(Table1[Price ($)])</f>
        <v>297.05882352941177</v>
      </c>
    </row>
    <row r="44" spans="1:12" ht="18" customHeight="1" x14ac:dyDescent="0.25">
      <c r="C44" s="30"/>
      <c r="D44" s="27"/>
    </row>
    <row r="45" spans="1:12" ht="24" customHeight="1" x14ac:dyDescent="0.3">
      <c r="A45" s="29" t="s">
        <v>111</v>
      </c>
      <c r="B45" t="s">
        <v>116</v>
      </c>
      <c r="C45" s="28" t="s">
        <v>117</v>
      </c>
      <c r="D45" s="36">
        <v>1000</v>
      </c>
    </row>
    <row r="46" spans="1:12" ht="20.399999999999999" customHeight="1" x14ac:dyDescent="0.25">
      <c r="B46" t="s">
        <v>116</v>
      </c>
      <c r="C46" s="28" t="s">
        <v>118</v>
      </c>
      <c r="D46" s="31">
        <f>MIN(Table1[Price ($)])</f>
        <v>30</v>
      </c>
    </row>
    <row r="47" spans="1:12" ht="15.75" customHeight="1" x14ac:dyDescent="0.25">
      <c r="D47" s="27"/>
    </row>
    <row r="48" spans="1:12" ht="15.75" customHeight="1" x14ac:dyDescent="0.3">
      <c r="A48" s="29" t="s">
        <v>111</v>
      </c>
      <c r="B48" s="21" t="s">
        <v>120</v>
      </c>
      <c r="C48" s="28" t="s">
        <v>122</v>
      </c>
      <c r="D48" s="31">
        <f>SUMIF(Table1[Category],"Electronics",Table1[Price ($)])</f>
        <v>8050</v>
      </c>
    </row>
    <row r="49" spans="2:4" ht="15.75" customHeight="1" x14ac:dyDescent="0.25">
      <c r="B49" s="21" t="s">
        <v>121</v>
      </c>
      <c r="C49" s="28" t="s">
        <v>123</v>
      </c>
      <c r="D49" s="31">
        <f>COUNTIF(Table1[Price ($)],"&lt;100")</f>
        <v>11</v>
      </c>
    </row>
    <row r="50" spans="2:4" ht="15.75" customHeight="1" x14ac:dyDescent="0.25"/>
    <row r="51" spans="2:4" ht="15.75" customHeight="1" x14ac:dyDescent="0.25"/>
    <row r="52" spans="2:4" ht="15.75" customHeight="1" x14ac:dyDescent="0.25"/>
    <row r="53" spans="2:4" ht="15.75" customHeight="1" x14ac:dyDescent="0.25"/>
    <row r="54" spans="2:4" ht="15.75" customHeight="1" x14ac:dyDescent="0.25"/>
    <row r="55" spans="2:4" ht="15.75" customHeight="1" x14ac:dyDescent="0.25"/>
    <row r="56" spans="2:4" ht="15.75" customHeight="1" x14ac:dyDescent="0.25"/>
    <row r="57" spans="2:4" ht="15.75" customHeight="1" x14ac:dyDescent="0.25"/>
    <row r="58" spans="2:4" ht="15.75" customHeight="1" x14ac:dyDescent="0.25"/>
    <row r="59" spans="2:4" ht="15.75" customHeight="1" x14ac:dyDescent="0.25"/>
    <row r="60" spans="2:4" ht="15.75" customHeight="1" x14ac:dyDescent="0.25"/>
    <row r="61" spans="2:4" ht="15.75" customHeight="1" x14ac:dyDescent="0.25"/>
    <row r="62" spans="2:4" ht="15.75" customHeight="1" x14ac:dyDescent="0.25"/>
    <row r="63" spans="2:4" ht="15.75" customHeight="1" x14ac:dyDescent="0.25"/>
    <row r="64" spans="2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537F-7550-4D38-B36E-086D20A30EE7}">
  <dimension ref="A1:F34"/>
  <sheetViews>
    <sheetView workbookViewId="0">
      <selection activeCell="J12" sqref="J12"/>
    </sheetView>
  </sheetViews>
  <sheetFormatPr defaultRowHeight="13.2" x14ac:dyDescent="0.25"/>
  <cols>
    <col min="1" max="1" width="13.5546875" customWidth="1"/>
    <col min="2" max="2" width="17.77734375" customWidth="1"/>
    <col min="3" max="3" width="14.6640625" customWidth="1"/>
    <col min="4" max="4" width="14.109375" customWidth="1"/>
    <col min="5" max="5" width="11.77734375" customWidth="1"/>
    <col min="6" max="6" width="14.6640625" customWidth="1"/>
  </cols>
  <sheetData>
    <row r="1" spans="1:6" x14ac:dyDescent="0.25">
      <c r="A1" t="s">
        <v>23</v>
      </c>
      <c r="B1" t="s">
        <v>24</v>
      </c>
      <c r="C1" t="s">
        <v>25</v>
      </c>
      <c r="D1">
        <v>1000</v>
      </c>
      <c r="E1">
        <v>30</v>
      </c>
      <c r="F1" t="s">
        <v>26</v>
      </c>
    </row>
    <row r="2" spans="1:6" x14ac:dyDescent="0.25">
      <c r="A2" t="s">
        <v>27</v>
      </c>
      <c r="B2" t="s">
        <v>28</v>
      </c>
      <c r="C2" t="s">
        <v>29</v>
      </c>
      <c r="D2">
        <v>80</v>
      </c>
      <c r="E2">
        <v>15</v>
      </c>
      <c r="F2" t="s">
        <v>30</v>
      </c>
    </row>
    <row r="3" spans="1:6" x14ac:dyDescent="0.25">
      <c r="A3" t="s">
        <v>31</v>
      </c>
      <c r="B3" t="s">
        <v>32</v>
      </c>
      <c r="C3" t="s">
        <v>33</v>
      </c>
      <c r="D3">
        <v>130</v>
      </c>
      <c r="E3">
        <v>40</v>
      </c>
      <c r="F3" t="s">
        <v>34</v>
      </c>
    </row>
    <row r="4" spans="1:6" x14ac:dyDescent="0.25">
      <c r="A4" t="s">
        <v>35</v>
      </c>
      <c r="B4" t="s">
        <v>36</v>
      </c>
      <c r="C4" t="s">
        <v>37</v>
      </c>
      <c r="D4">
        <v>900</v>
      </c>
      <c r="E4">
        <v>25</v>
      </c>
      <c r="F4" t="s">
        <v>26</v>
      </c>
    </row>
    <row r="5" spans="1:6" x14ac:dyDescent="0.25">
      <c r="A5" t="s">
        <v>38</v>
      </c>
      <c r="B5" t="s">
        <v>39</v>
      </c>
      <c r="C5" t="s">
        <v>40</v>
      </c>
      <c r="D5">
        <v>70</v>
      </c>
      <c r="E5">
        <v>20</v>
      </c>
      <c r="F5" t="s">
        <v>41</v>
      </c>
    </row>
    <row r="6" spans="1:6" x14ac:dyDescent="0.25">
      <c r="A6" t="s">
        <v>42</v>
      </c>
      <c r="B6" t="s">
        <v>43</v>
      </c>
      <c r="C6" t="s">
        <v>44</v>
      </c>
      <c r="D6">
        <v>200</v>
      </c>
      <c r="E6">
        <v>45</v>
      </c>
      <c r="F6" t="s">
        <v>26</v>
      </c>
    </row>
    <row r="7" spans="1:6" x14ac:dyDescent="0.25">
      <c r="A7" t="s">
        <v>45</v>
      </c>
      <c r="B7" t="s">
        <v>46</v>
      </c>
      <c r="C7" t="s">
        <v>47</v>
      </c>
      <c r="D7">
        <v>30</v>
      </c>
      <c r="E7">
        <v>5</v>
      </c>
      <c r="F7" t="s">
        <v>30</v>
      </c>
    </row>
    <row r="8" spans="1:6" x14ac:dyDescent="0.25">
      <c r="A8" t="s">
        <v>48</v>
      </c>
      <c r="B8" t="s">
        <v>49</v>
      </c>
      <c r="C8" t="s">
        <v>50</v>
      </c>
      <c r="D8">
        <v>90</v>
      </c>
      <c r="E8">
        <v>35</v>
      </c>
      <c r="F8" t="s">
        <v>34</v>
      </c>
    </row>
    <row r="9" spans="1:6" x14ac:dyDescent="0.25">
      <c r="A9" t="s">
        <v>51</v>
      </c>
      <c r="B9" t="s">
        <v>52</v>
      </c>
      <c r="C9" t="s">
        <v>53</v>
      </c>
      <c r="D9">
        <v>500</v>
      </c>
      <c r="E9">
        <v>50</v>
      </c>
      <c r="F9" t="s">
        <v>26</v>
      </c>
    </row>
    <row r="10" spans="1:6" x14ac:dyDescent="0.25">
      <c r="A10" t="s">
        <v>54</v>
      </c>
      <c r="B10" t="s">
        <v>55</v>
      </c>
      <c r="C10" t="s">
        <v>56</v>
      </c>
      <c r="D10">
        <v>130</v>
      </c>
      <c r="E10">
        <v>10</v>
      </c>
      <c r="F10" t="s">
        <v>41</v>
      </c>
    </row>
    <row r="11" spans="1:6" x14ac:dyDescent="0.25">
      <c r="A11" t="s">
        <v>57</v>
      </c>
      <c r="B11" t="s">
        <v>24</v>
      </c>
      <c r="C11" t="s">
        <v>58</v>
      </c>
      <c r="D11">
        <v>950</v>
      </c>
      <c r="E11">
        <v>25</v>
      </c>
      <c r="F11" t="s">
        <v>26</v>
      </c>
    </row>
    <row r="12" spans="1:6" x14ac:dyDescent="0.25">
      <c r="A12" t="s">
        <v>59</v>
      </c>
      <c r="B12" t="s">
        <v>28</v>
      </c>
      <c r="C12" t="s">
        <v>47</v>
      </c>
      <c r="D12">
        <v>90</v>
      </c>
      <c r="E12">
        <v>40</v>
      </c>
      <c r="F12" t="s">
        <v>30</v>
      </c>
    </row>
    <row r="13" spans="1:6" x14ac:dyDescent="0.25">
      <c r="A13" t="s">
        <v>60</v>
      </c>
      <c r="B13" t="s">
        <v>32</v>
      </c>
      <c r="C13" t="s">
        <v>61</v>
      </c>
      <c r="D13">
        <v>120</v>
      </c>
      <c r="E13">
        <v>35</v>
      </c>
      <c r="F13" t="s">
        <v>34</v>
      </c>
    </row>
    <row r="14" spans="1:6" x14ac:dyDescent="0.25">
      <c r="A14" t="s">
        <v>62</v>
      </c>
      <c r="B14" t="s">
        <v>63</v>
      </c>
      <c r="C14" t="s">
        <v>64</v>
      </c>
      <c r="D14">
        <v>150</v>
      </c>
      <c r="E14">
        <v>15</v>
      </c>
      <c r="F14" t="s">
        <v>26</v>
      </c>
    </row>
    <row r="15" spans="1:6" x14ac:dyDescent="0.25">
      <c r="A15" t="s">
        <v>65</v>
      </c>
      <c r="B15" t="s">
        <v>43</v>
      </c>
      <c r="C15" t="s">
        <v>66</v>
      </c>
      <c r="D15">
        <v>250</v>
      </c>
      <c r="E15">
        <v>20</v>
      </c>
      <c r="F15" t="s">
        <v>26</v>
      </c>
    </row>
    <row r="16" spans="1:6" x14ac:dyDescent="0.25">
      <c r="A16" t="s">
        <v>67</v>
      </c>
      <c r="B16" t="s">
        <v>68</v>
      </c>
      <c r="C16" t="s">
        <v>69</v>
      </c>
      <c r="D16">
        <v>50</v>
      </c>
      <c r="E16">
        <v>35</v>
      </c>
      <c r="F16" t="s">
        <v>70</v>
      </c>
    </row>
    <row r="17" spans="1:6" x14ac:dyDescent="0.25">
      <c r="A17" t="s">
        <v>71</v>
      </c>
      <c r="B17" t="s">
        <v>63</v>
      </c>
      <c r="C17" t="s">
        <v>72</v>
      </c>
      <c r="D17">
        <v>160</v>
      </c>
      <c r="E17">
        <v>15</v>
      </c>
      <c r="F17" t="s">
        <v>26</v>
      </c>
    </row>
    <row r="18" spans="1:6" x14ac:dyDescent="0.25">
      <c r="A18" t="s">
        <v>73</v>
      </c>
      <c r="B18" t="s">
        <v>24</v>
      </c>
      <c r="C18" t="s">
        <v>74</v>
      </c>
      <c r="D18">
        <v>980</v>
      </c>
      <c r="E18">
        <v>10</v>
      </c>
      <c r="F18" t="s">
        <v>26</v>
      </c>
    </row>
    <row r="19" spans="1:6" x14ac:dyDescent="0.25">
      <c r="A19" t="s">
        <v>75</v>
      </c>
      <c r="B19" t="s">
        <v>76</v>
      </c>
      <c r="C19" t="s">
        <v>77</v>
      </c>
      <c r="D19">
        <v>150</v>
      </c>
      <c r="E19">
        <v>15</v>
      </c>
      <c r="F19" t="s">
        <v>30</v>
      </c>
    </row>
    <row r="20" spans="1:6" x14ac:dyDescent="0.25">
      <c r="A20" t="s">
        <v>78</v>
      </c>
      <c r="B20" t="s">
        <v>79</v>
      </c>
      <c r="C20" t="s">
        <v>80</v>
      </c>
      <c r="D20">
        <v>200</v>
      </c>
      <c r="E20">
        <v>10</v>
      </c>
      <c r="F20" t="s">
        <v>41</v>
      </c>
    </row>
    <row r="21" spans="1:6" x14ac:dyDescent="0.25">
      <c r="A21" t="s">
        <v>81</v>
      </c>
      <c r="B21" t="s">
        <v>82</v>
      </c>
      <c r="C21" t="s">
        <v>83</v>
      </c>
      <c r="D21">
        <v>700</v>
      </c>
      <c r="E21">
        <v>50</v>
      </c>
      <c r="F21" t="s">
        <v>26</v>
      </c>
    </row>
    <row r="22" spans="1:6" x14ac:dyDescent="0.25">
      <c r="A22" t="s">
        <v>84</v>
      </c>
      <c r="B22" t="s">
        <v>85</v>
      </c>
      <c r="C22" t="s">
        <v>86</v>
      </c>
      <c r="D22">
        <v>80</v>
      </c>
      <c r="E22">
        <v>20</v>
      </c>
      <c r="F22" t="s">
        <v>34</v>
      </c>
    </row>
    <row r="23" spans="1:6" x14ac:dyDescent="0.25">
      <c r="A23" t="s">
        <v>87</v>
      </c>
      <c r="B23" t="s">
        <v>88</v>
      </c>
      <c r="C23" t="s">
        <v>89</v>
      </c>
      <c r="D23">
        <v>150</v>
      </c>
      <c r="E23">
        <v>30</v>
      </c>
      <c r="F23" t="s">
        <v>26</v>
      </c>
    </row>
    <row r="24" spans="1:6" x14ac:dyDescent="0.25">
      <c r="A24" t="s">
        <v>67</v>
      </c>
      <c r="B24" t="s">
        <v>68</v>
      </c>
      <c r="C24" t="s">
        <v>69</v>
      </c>
      <c r="D24">
        <v>50</v>
      </c>
      <c r="E24">
        <v>35</v>
      </c>
      <c r="F24" t="s">
        <v>70</v>
      </c>
    </row>
    <row r="25" spans="1:6" x14ac:dyDescent="0.25">
      <c r="A25" t="s">
        <v>90</v>
      </c>
      <c r="B25" t="s">
        <v>36</v>
      </c>
      <c r="C25" t="s">
        <v>91</v>
      </c>
      <c r="D25">
        <v>800</v>
      </c>
      <c r="E25">
        <v>45</v>
      </c>
      <c r="F25" t="s">
        <v>26</v>
      </c>
    </row>
    <row r="26" spans="1:6" x14ac:dyDescent="0.25">
      <c r="A26" t="s">
        <v>92</v>
      </c>
      <c r="B26" t="s">
        <v>76</v>
      </c>
      <c r="C26" t="s">
        <v>93</v>
      </c>
      <c r="D26">
        <v>130</v>
      </c>
      <c r="E26">
        <v>25</v>
      </c>
      <c r="F26" t="s">
        <v>30</v>
      </c>
    </row>
    <row r="27" spans="1:6" x14ac:dyDescent="0.25">
      <c r="A27" t="s">
        <v>94</v>
      </c>
      <c r="B27" t="s">
        <v>49</v>
      </c>
      <c r="C27" t="s">
        <v>95</v>
      </c>
      <c r="D27">
        <v>400</v>
      </c>
      <c r="E27">
        <v>40</v>
      </c>
      <c r="F27" t="s">
        <v>34</v>
      </c>
    </row>
    <row r="28" spans="1:6" x14ac:dyDescent="0.25">
      <c r="A28" t="s">
        <v>65</v>
      </c>
      <c r="B28" t="s">
        <v>43</v>
      </c>
      <c r="C28" t="s">
        <v>66</v>
      </c>
      <c r="D28">
        <v>230</v>
      </c>
      <c r="E28">
        <v>20</v>
      </c>
      <c r="F28" t="s">
        <v>26</v>
      </c>
    </row>
    <row r="29" spans="1:6" x14ac:dyDescent="0.25">
      <c r="A29" t="s">
        <v>96</v>
      </c>
      <c r="B29" t="s">
        <v>97</v>
      </c>
      <c r="C29" t="s">
        <v>98</v>
      </c>
      <c r="D29">
        <v>60</v>
      </c>
      <c r="E29">
        <v>30</v>
      </c>
      <c r="F29" t="s">
        <v>30</v>
      </c>
    </row>
    <row r="30" spans="1:6" x14ac:dyDescent="0.25">
      <c r="A30" t="s">
        <v>99</v>
      </c>
      <c r="B30" t="s">
        <v>100</v>
      </c>
      <c r="C30" t="s">
        <v>101</v>
      </c>
      <c r="D30">
        <v>40</v>
      </c>
      <c r="E30">
        <v>10</v>
      </c>
      <c r="F30" t="s">
        <v>34</v>
      </c>
    </row>
    <row r="31" spans="1:6" x14ac:dyDescent="0.25">
      <c r="A31" t="s">
        <v>102</v>
      </c>
      <c r="B31" t="s">
        <v>88</v>
      </c>
      <c r="C31" t="s">
        <v>103</v>
      </c>
      <c r="D31">
        <v>130</v>
      </c>
      <c r="E31">
        <v>5</v>
      </c>
      <c r="F31" t="s">
        <v>26</v>
      </c>
    </row>
    <row r="32" spans="1:6" x14ac:dyDescent="0.25">
      <c r="A32" t="s">
        <v>104</v>
      </c>
      <c r="B32" t="s">
        <v>105</v>
      </c>
      <c r="C32" t="s">
        <v>106</v>
      </c>
      <c r="D32">
        <v>50</v>
      </c>
      <c r="E32">
        <v>50</v>
      </c>
      <c r="F32" t="s">
        <v>30</v>
      </c>
    </row>
    <row r="33" spans="1:6" x14ac:dyDescent="0.25">
      <c r="A33" t="s">
        <v>57</v>
      </c>
      <c r="B33" t="s">
        <v>24</v>
      </c>
      <c r="C33" t="s">
        <v>58</v>
      </c>
      <c r="D33">
        <v>950</v>
      </c>
      <c r="E33">
        <v>25</v>
      </c>
      <c r="F33" t="s">
        <v>26</v>
      </c>
    </row>
    <row r="34" spans="1:6" x14ac:dyDescent="0.25">
      <c r="A34" t="s">
        <v>107</v>
      </c>
      <c r="B34" t="s">
        <v>108</v>
      </c>
      <c r="C34" t="s">
        <v>109</v>
      </c>
      <c r="D34">
        <v>100</v>
      </c>
      <c r="E34">
        <v>20</v>
      </c>
      <c r="F3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Fasil EM</dc:creator>
  <cp:lastModifiedBy>Fasil M</cp:lastModifiedBy>
  <dcterms:created xsi:type="dcterms:W3CDTF">2026-03-31T05:22:12Z</dcterms:created>
  <dcterms:modified xsi:type="dcterms:W3CDTF">2026-03-31T05:26:26Z</dcterms:modified>
</cp:coreProperties>
</file>