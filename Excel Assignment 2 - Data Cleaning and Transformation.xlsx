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814\Downloads\"/>
    </mc:Choice>
  </mc:AlternateContent>
  <xr:revisionPtr revIDLastSave="0" documentId="13_ncr:1_{1E737E96-B4CE-4845-A34D-944D81C6BCE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Assignment 2" sheetId="3" r:id="rId3"/>
  </sheets>
  <definedNames>
    <definedName name="_xlnm._FilterDatabase" localSheetId="2" hidden="1">'Assignment 2'!$A$1:$B$1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_16183d07-6028-40a4-a3f3-eb8a72c6218c" name="Table1" connection="Query - Table1"/>
          <x15:modelTable id="Table2_bdd84ab7-1a82-426f-ad85-bad2a22135b8" name="Table2" connection="Query - Table2"/>
          <x15:modelTable id="Table5_ebc38a74-07df-4a38-98e1-e4a753eb1f93" name="Table5" connection="Query - Table5"/>
        </x15:modelTables>
      </x15:dataModel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K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2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2" i="2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" i="3"/>
  <c r="G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A3F221-B0C5-4B5D-912D-CF7B632E6FAE}" name="Query - Table1" description="Connection to the 'Table1' query in the workbook." type="100" refreshedVersion="8" minRefreshableVersion="5">
    <extLst>
      <ext xmlns:x15="http://schemas.microsoft.com/office/spreadsheetml/2010/11/main" uri="{DE250136-89BD-433C-8126-D09CA5730AF9}">
        <x15:connection id="09cff564-dfeb-443b-aad1-0e87320d2a7e"/>
      </ext>
    </extLst>
  </connection>
  <connection id="2" xr16:uid="{010FDE33-044B-49F5-AA90-21673C64E5B1}" name="Query - Table2" description="Connection to the 'Table2' query in the workbook." type="100" refreshedVersion="8" minRefreshableVersion="5">
    <extLst>
      <ext xmlns:x15="http://schemas.microsoft.com/office/spreadsheetml/2010/11/main" uri="{DE250136-89BD-433C-8126-D09CA5730AF9}">
        <x15:connection id="37c30572-30a6-4f3c-9c98-954fc794f81c"/>
      </ext>
    </extLst>
  </connection>
  <connection id="3" xr16:uid="{310CBAD3-2C80-4F7C-8EC7-D61616D30E06}" name="Query - Table5" description="Connection to the 'Table5' query in the workbook." type="100" refreshedVersion="8" minRefreshableVersion="5">
    <extLst>
      <ext xmlns:x15="http://schemas.microsoft.com/office/spreadsheetml/2010/11/main" uri="{DE250136-89BD-433C-8126-D09CA5730AF9}">
        <x15:connection id="2b132b06-9d43-4584-826a-1ea392ebcf7b"/>
      </ext>
    </extLst>
  </connection>
  <connection id="4" xr16:uid="{54743920-2F72-4EF4-B1EE-8C9BBBEFF94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<sst xmlns="http://schemas.openxmlformats.org/spreadsheetml/2006/main" count="357" uniqueCount="149">
  <si>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</si>
  <si>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</si>
  <si>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</si>
  <si>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</si>
  <si>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</si>
  <si>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</si>
  <si>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</si>
  <si>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</si>
  <si>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</si>
  <si>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</si>
  <si>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</si>
  <si>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</si>
  <si>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</si>
  <si>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</si>
  <si>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</si>
  <si>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</si>
  <si>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</si>
  <si>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</si>
  <si>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</si>
  <si>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</si>
  <si>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</si>
  <si>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</si>
  <si>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</si>
  <si>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</si>
  <si>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</si>
  <si>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</si>
  <si>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</si>
  <si>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</si>
  <si>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</si>
  <si>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</si>
  <si>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</si>
  <si>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</si>
  <si>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</si>
  <si>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</si>
  <si>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</si>
  <si>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</si>
  <si>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</si>
  <si>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</si>
  <si>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</si>
  <si>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</si>
  <si>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</si>
  <si>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</si>
  <si>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</si>
  <si>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</si>
  <si>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</si>
  <si>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</si>
  <si>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</si>
  <si>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</si>
  <si>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</si>
  <si>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</si>
  <si>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</si>
  <si>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</si>
  <si>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</si>
  <si>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</si>
  <si>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</si>
  <si>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</si>
  <si>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</si>
  <si>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</si>
  <si>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</si>
  <si>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</si>
  <si>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</si>
  <si>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</si>
  <si>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</si>
  <si>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</si>
  <si>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</si>
  <si>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</si>
  <si>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</si>
  <si>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</si>
  <si>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</si>
  <si>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</si>
  <si>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</si>
  <si>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</si>
  <si>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</si>
  <si>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</si>
  <si>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</si>
  <si>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</si>
  <si>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</si>
  <si>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</si>
  <si>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</si>
  <si>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</si>
  <si>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</si>
  <si>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</si>
  <si>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</si>
  <si>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</si>
  <si>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</si>
  <si>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</si>
  <si>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</si>
  <si>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</si>
  <si>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</si>
  <si>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</si>
  <si>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</si>
  <si>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</si>
  <si>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</si>
  <si>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</si>
  <si>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</si>
  <si>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</si>
  <si>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</si>
  <si>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</si>
  <si>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</si>
  <si>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</si>
  <si>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</si>
  <si>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</si>
  <si>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</si>
  <si>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</si>
  <si>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</si>
  <si>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</si>
  <si>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</si>
  <si>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</si>
  <si>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</si>
  <si>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</si>
  <si>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</si>
  <si>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</si>
  <si>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</si>
  <si>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</si>
  <si>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</si>
  <si>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</si>
  <si>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Column1</t>
  </si>
  <si>
    <t>T-Shirt</t>
  </si>
  <si>
    <t>country code</t>
  </si>
  <si>
    <t>month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</si>
  <si>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</si>
  <si>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</si>
  <si>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</si>
  <si>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</si>
  <si>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</si>
  <si>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</si>
  <si>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</si>
  <si>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</si>
  <si>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</si>
  <si>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</si>
  <si>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</si>
  <si>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</si>
  <si>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</si>
  <si>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</si>
  <si>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</si>
  <si>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</si>
  <si>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</si>
  <si>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</si>
  <si>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</si>
  <si>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</si>
  <si>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</si>
  <si>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</si>
  <si>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</si>
  <si>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</si>
  <si>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</si>
  <si>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>manufactoring date</t>
  </si>
  <si>
    <t>PRICE2</t>
  </si>
  <si>
    <t>REFERENCE:</t>
  </si>
  <si>
    <t>FOR MISSING DATA IN CATEGORY COLUMN FILLED USING POWER QUERY MODE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</si>
</sst>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1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8"/>
      <name val="Arial"/>
      <family val="2"/>
      <scheme val="minor"/>
    </font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u/>
      <sz val="12"/>
      <color theme="1"/>
      <name val="Times New Roman"/>
      <family val="1"/>
    </font>
    <font>
      <b/>
      <sz val="12"/>
      <color theme="1"/>
      <name val="Aptos Display"/>
      <family val="2"/>
    </font>
    <font>
      <sz val="12"/>
      <color theme="3"/>
      <name val="Aptos Display"/>
      <family val="2"/>
    </font>
    <font>
      <sz val="12"/>
      <color theme="1"/>
      <name val="Aptos Display"/>
      <family val="2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59999389629810485"/>
        <bgColor rgb="FF4DD0E1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1" fillId="0" borderId="0" applyFont="0" applyFill="0" applyBorder="0" applyAlignment="0" applyProtection="0"/>
    <xf numFmtId="0" fontId="2" fillId="4" borderId="0" applyNumberFormat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4" borderId="1" xfId="2" applyBorder="1" applyAlignment="1">
      <alignment horizontal="center"/>
    </xf>
    <xf numFmtId="0" fontId="2" fillId="4" borderId="0" xfId="2" applyAlignment="1">
      <alignment horizontal="center"/>
    </xf>
    <xf numFmtId="14" fontId="7" fillId="0" borderId="5" xfId="0" applyNumberFormat="1" applyFont="1" applyBorder="1" applyAlignment="1">
      <alignment horizontal="center"/>
    </xf>
    <xf numFmtId="0" fontId="14" fillId="0" borderId="0" xfId="0" applyFont="1"/>
    <xf numFmtId="0" fontId="0" fillId="0" borderId="5" xfId="0" applyBorder="1"/>
    <xf numFmtId="0" fontId="12" fillId="0" borderId="5" xfId="0" applyFont="1" applyBorder="1" applyAlignment="1">
      <alignment horizontal="center"/>
    </xf>
    <xf numFmtId="14" fontId="0" fillId="0" borderId="0" xfId="0" applyNumberFormat="1"/>
    <xf numFmtId="0" fontId="15" fillId="6" borderId="2" xfId="0" applyFont="1" applyFill="1" applyBorder="1" applyAlignment="1">
      <alignment horizontal="center"/>
    </xf>
    <xf numFmtId="0" fontId="16" fillId="7" borderId="2" xfId="0" applyFont="1" applyFill="1" applyBorder="1" applyAlignment="1">
      <alignment horizontal="center"/>
    </xf>
    <xf numFmtId="0" fontId="16" fillId="7" borderId="3" xfId="0" applyFont="1" applyFill="1" applyBorder="1" applyAlignment="1">
      <alignment horizontal="center"/>
    </xf>
    <xf numFmtId="164" fontId="16" fillId="7" borderId="3" xfId="1" applyNumberFormat="1" applyFont="1" applyFill="1" applyBorder="1" applyAlignment="1">
      <alignment horizontal="center"/>
    </xf>
    <xf numFmtId="0" fontId="17" fillId="5" borderId="3" xfId="2" applyFont="1" applyFill="1" applyBorder="1" applyAlignment="1">
      <alignment horizontal="center"/>
    </xf>
    <xf numFmtId="0" fontId="1" fillId="4" borderId="1" xfId="2" applyFont="1" applyBorder="1" applyAlignment="1">
      <alignment horizontal="center"/>
    </xf>
    <xf numFmtId="0" fontId="13" fillId="0" borderId="0" xfId="0" applyFont="1" applyAlignment="1">
      <alignment horizontal="center"/>
    </xf>
    <xf numFmtId="164" fontId="16" fillId="7" borderId="3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left" indent="3"/>
    </xf>
    <xf numFmtId="14" fontId="15" fillId="6" borderId="11" xfId="0" applyNumberFormat="1" applyFont="1" applyFill="1" applyBorder="1" applyAlignment="1">
      <alignment horizontal="center"/>
    </xf>
    <xf numFmtId="14" fontId="12" fillId="0" borderId="12" xfId="0" applyNumberFormat="1" applyFont="1" applyBorder="1" applyAlignment="1">
      <alignment horizontal="center"/>
    </xf>
    <xf numFmtId="14" fontId="12" fillId="0" borderId="10" xfId="0" applyNumberFormat="1" applyFont="1" applyBorder="1" applyAlignment="1">
      <alignment horizontal="center"/>
    </xf>
  </cellXfs>
  <cellStyles count="3">
    <cellStyle name="20% - Accent5" xfId="2" builtinId="46"/>
    <cellStyle name="Currency" xfId="1" builtinId="4"/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164" formatCode="_-[$$-409]* #,##0.00_ ;_-[$$-409]* \-#,##0.00\ ;_-[$$-409]* &quot;-&quot;??_ ;_-@_ "/>
      <alignment horizontal="left" vertical="bottom" textRotation="0" wrapText="0" relativeIndent="-1" justifyLastLine="0" shrinkToFit="0" readingOrder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3"/>
        <name val="Aptos Display"/>
        <family val="2"/>
        <scheme val="none"/>
      </font>
      <fill>
        <patternFill patternType="solid"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powerPivotData" Target="model/item.data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5787C2-5DF0-4B83-AD42-D67405EF59FF}" name="Table2" displayName="Table2" ref="A1:G35" totalsRowShown="0" headerRowDxfId="42" dataDxfId="40" headerRowBorderDxfId="41" tableBorderDxfId="39" totalsRowBorderDxfId="38">
  <autoFilter ref="A1:G35" xr:uid="{D25787C2-5DF0-4B83-AD42-D67405EF59FF}"/>
  <tableColumns count="7">
    <tableColumn id="1" xr3:uid="{962357B4-008C-4BA1-8290-DFF209BC0168}" name="Product ID" dataDxfId="37"/>
    <tableColumn id="7" xr3:uid="{CE46DF7B-BB1B-47B1-A275-9FC5E49F48E9}" name="Column1" dataDxfId="36">
      <calculatedColumnFormula>DATEVALUE(LEFT(A2,6))</calculatedColumnFormula>
    </tableColumn>
    <tableColumn id="2" xr3:uid="{078AD0EB-88E4-4DDB-BED6-5C94B9BB743B}" name="Product Name" dataDxfId="35"/>
    <tableColumn id="3" xr3:uid="{522857DA-74D0-49EF-BBB1-9E1EF646A9F2}" name="Brand Name" dataDxfId="34"/>
    <tableColumn id="4" xr3:uid="{870A8908-3EA8-45DF-A24F-29DE9C42430A}" name="Price ($)" dataDxfId="33"/>
    <tableColumn id="5" xr3:uid="{9C33FA4B-35A6-40BD-95F8-97EAC978E69F}" name="Quantity" dataDxfId="32"/>
    <tableColumn id="6" xr3:uid="{FDD9E93A-FA5E-4EA4-8B72-0781D22F43B8}" name="Category" data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47BD69-AD00-4BC8-A14D-7B416F32532E}" name="Table1" displayName="Table1" ref="C1:K32" headerRowDxfId="30" dataDxfId="28" totalsRowDxfId="26" headerRowBorderDxfId="29" tableBorderDxfId="27" totalsRowBorderDxfId="25">
  <autoFilter ref="C1:K32" xr:uid="{9747BD69-AD00-4BC8-A14D-7B416F32532E}"/>
  <tableColumns count="9">
    <tableColumn id="9" xr3:uid="{241FA428-1D4E-4AF8-91E2-1ED806FD5191}" name="month" dataDxfId="24"/>
    <tableColumn id="10" xr3:uid="{083D2A26-5F03-4F63-BED6-0EE4E935D72C}" name="country code" dataDxfId="23" totalsRowDxfId="22"/>
    <tableColumn id="2" xr3:uid="{47F3C635-7C6E-40B9-9346-D7B6D020E4C4}" name="Product Name" dataDxfId="21" totalsRowDxfId="20"/>
    <tableColumn id="3" xr3:uid="{91F466A6-D01A-4D82-B3C2-74B9CCA3D787}" name="Brand Name" dataDxfId="19" totalsRowDxfId="18"/>
    <tableColumn id="12" xr3:uid="{71B978B0-DC3E-43EC-8C3A-D0E80D0AE834}" name="PRODUCT BRAND" dataDxfId="17" totalsRowDxfId="16">
      <calculatedColumnFormula>CONCATENATE(Table1[Product Name]," ",Table1[Brand Name])</calculatedColumnFormula>
    </tableColumn>
    <tableColumn id="4" xr3:uid="{23B008E2-983E-416A-A192-6DF6FECCDE49}" name="Price ($)" dataDxfId="15"/>
    <tableColumn id="5" xr3:uid="{FB148F90-7D69-4387-A12C-2A4140870FAF}" name="Quantity" dataDxfId="14" totalsRowDxfId="13"/>
    <tableColumn id="6" xr3:uid="{B4D0AF1E-4453-4726-B9FD-F341261BFF24}" name="Category" dataDxfId="12" totalsRowDxfId="11" dataCellStyle="20% - Accent5"/>
    <tableColumn id="1" xr3:uid="{B25E6595-C852-4AEF-A2F8-E09738E0F17D}" name="PRICE2" dataDxfId="10">
      <calculatedColumnFormula>IF(H2="",AVERAGEIF(Table1[Product Name],E2,Table1[Price ($)]),H2)</calculatedColumnFormula>
    </tableColumn>
  </tableColumns>
  <tableStyleInfo name="TableStyleLight14" showFirstColumn="1" showLastColumn="1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B705D3-014D-466D-8300-1DCFC69A62F7}" name="Table5" displayName="Table5" ref="A1:B32" totalsRowShown="0" headerRowBorderDxfId="9" tableBorderDxfId="8" totalsRowBorderDxfId="7">
  <autoFilter ref="A1:B32" xr:uid="{BCB705D3-014D-466D-8300-1DCFC69A62F7}"/>
  <tableColumns count="2">
    <tableColumn id="1" xr3:uid="{083FE572-94B9-4670-9E15-656123D3CAC6}" name="Product ID" dataDxfId="6"/>
    <tableColumn id="2" xr3:uid="{3756C64A-1CE0-4EB8-9CDF-EEFAA7EE5E88}" name="manufactoring date" dataDxfId="5">
      <calculatedColumnFormula>DATEVALUE(LEFT(A2,6))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showGridLines="0" workbookViewId="0">
      <selection activeCell="L25" sqref="L25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2" ht="15.75" customHeight="1" x14ac:dyDescent="0.25">
      <c r="A1" s="1" t="s">
        <v>0</v>
      </c>
    </row>
    <row r="2" spans="1:12" ht="15.75" customHeight="1" x14ac:dyDescent="0.25"/>
    <row r="3" spans="1:12" ht="15.75" customHeight="1" x14ac:dyDescent="0.3">
      <c r="B3" s="2" t="s">
        <v>1</v>
      </c>
    </row>
    <row r="4" spans="1:12" ht="15.75" customHeight="1" x14ac:dyDescent="0.3">
      <c r="C4" s="3" t="s">
        <v>2</v>
      </c>
      <c r="L4" s="20"/>
    </row>
    <row r="5" spans="1:12" ht="15.75" customHeight="1" x14ac:dyDescent="0.3">
      <c r="B5" s="4"/>
      <c r="C5" s="3" t="s">
        <v>3</v>
      </c>
      <c r="L5" s="20"/>
    </row>
    <row r="6" spans="1:12" ht="15.75" customHeight="1" x14ac:dyDescent="0.3">
      <c r="B6" s="4"/>
    </row>
    <row r="7" spans="1:12" ht="15.75" customHeight="1" x14ac:dyDescent="0.3">
      <c r="B7" s="2" t="s">
        <v>4</v>
      </c>
    </row>
    <row r="8" spans="1:12" ht="15.75" customHeight="1" x14ac:dyDescent="0.3">
      <c r="C8" s="3" t="s">
        <v>5</v>
      </c>
    </row>
    <row r="9" spans="1:12" ht="15.75" customHeight="1" x14ac:dyDescent="0.3">
      <c r="C9" s="3" t="s">
        <v>6</v>
      </c>
    </row>
    <row r="10" spans="1:12" ht="15.75" customHeight="1" x14ac:dyDescent="0.3">
      <c r="C10" s="3" t="s">
        <v>7</v>
      </c>
    </row>
    <row r="11" spans="1:12" ht="15.75" customHeight="1" x14ac:dyDescent="0.3">
      <c r="B11" s="4"/>
    </row>
    <row r="12" spans="1:12" ht="15.75" customHeight="1" x14ac:dyDescent="0.3">
      <c r="B12" s="2" t="s">
        <v>8</v>
      </c>
    </row>
    <row r="13" spans="1:12" ht="15.75" customHeight="1" x14ac:dyDescent="0.3">
      <c r="B13" s="2"/>
      <c r="C13" s="3" t="s">
        <v>9</v>
      </c>
    </row>
    <row r="14" spans="1:12" ht="15.75" customHeight="1" x14ac:dyDescent="0.25"/>
    <row r="15" spans="1:12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2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2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2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2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2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2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19"/>
      <c r="K21" s="5"/>
    </row>
    <row r="22" spans="2:12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2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2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20"/>
      <c r="L24" s="20"/>
    </row>
    <row r="25" spans="2:12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  <c r="L25" s="20"/>
    </row>
    <row r="26" spans="2:12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2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2" ht="15.75" customHeight="1" x14ac:dyDescent="0.25"/>
    <row r="29" spans="2:12" ht="15.75" customHeight="1" x14ac:dyDescent="0.25"/>
    <row r="30" spans="2:12" ht="15.75" customHeight="1" x14ac:dyDescent="0.25"/>
    <row r="31" spans="2:12" ht="15.75" customHeight="1" x14ac:dyDescent="0.25"/>
    <row r="32" spans="2:1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00"/>
  <sheetViews>
    <sheetView workbookViewId="0">
      <selection activeCell="C14" sqref="C14"/>
    </sheetView>
  </sheetViews>
  <sheetFormatPr defaultColWidth="12.6640625" defaultRowHeight="15" customHeight="1" x14ac:dyDescent="0.25"/>
  <cols>
    <col min="1" max="1" width="12.6640625" customWidth="1"/>
    <col min="2" max="2" width="20" customWidth="1"/>
    <col min="3" max="3" width="15.33203125" customWidth="1"/>
    <col min="4" max="4" width="13.88671875" customWidth="1"/>
    <col min="5" max="6" width="11.88671875" customWidth="1"/>
    <col min="7" max="7" width="19" customWidth="1"/>
  </cols>
  <sheetData>
    <row r="1" spans="1:15" ht="15.75" customHeight="1" x14ac:dyDescent="0.25">
      <c r="A1" s="7" t="s">
        <v>19</v>
      </c>
      <c r="B1" s="7" t="s">
        <v>116</v>
      </c>
      <c r="C1" s="8" t="s">
        <v>20</v>
      </c>
      <c r="D1" s="8" t="s">
        <v>21</v>
      </c>
      <c r="E1" s="8" t="s">
        <v>22</v>
      </c>
      <c r="F1" s="8" t="s">
        <v>23</v>
      </c>
      <c r="G1" s="9" t="s">
        <v>24</v>
      </c>
    </row>
    <row r="2" spans="1:15" ht="15.75" customHeight="1" x14ac:dyDescent="0.25">
      <c r="A2" s="10" t="s">
        <v>25</v>
      </c>
      <c r="B2" s="30">
        <f t="shared" ref="B2:B35" si="0">DATEVALUE(LEFT(A2,6))</f>
        <v>46050</v>
      </c>
      <c r="C2" s="11" t="s">
        <v>26</v>
      </c>
      <c r="D2" s="11" t="s">
        <v>27</v>
      </c>
      <c r="E2" s="11">
        <v>1000</v>
      </c>
      <c r="F2" s="11">
        <v>30</v>
      </c>
      <c r="G2" s="12" t="s">
        <v>28</v>
      </c>
    </row>
    <row r="3" spans="1:15" ht="15.75" customHeight="1" x14ac:dyDescent="0.3">
      <c r="A3" s="13" t="s">
        <v>29</v>
      </c>
      <c r="B3" s="30">
        <f t="shared" si="0"/>
        <v>46068</v>
      </c>
      <c r="C3" s="14" t="s">
        <v>30</v>
      </c>
      <c r="D3" s="14" t="s">
        <v>31</v>
      </c>
      <c r="E3" s="14">
        <v>80</v>
      </c>
      <c r="F3" s="14">
        <v>15</v>
      </c>
      <c r="G3" s="15" t="s">
        <v>32</v>
      </c>
      <c r="H3" s="2"/>
      <c r="I3" s="5"/>
      <c r="J3" s="5"/>
      <c r="K3" s="5"/>
      <c r="L3" s="5"/>
      <c r="M3" s="5"/>
      <c r="N3" s="5"/>
      <c r="O3" s="5"/>
    </row>
    <row r="4" spans="1:15" ht="15.75" customHeight="1" x14ac:dyDescent="0.3">
      <c r="A4" s="10" t="s">
        <v>33</v>
      </c>
      <c r="B4" s="30">
        <f t="shared" si="0"/>
        <v>46084</v>
      </c>
      <c r="C4" s="11" t="s">
        <v>34</v>
      </c>
      <c r="D4" s="11" t="s">
        <v>35</v>
      </c>
      <c r="E4" s="11">
        <v>130</v>
      </c>
      <c r="F4" s="11">
        <v>40</v>
      </c>
      <c r="G4" s="12" t="s">
        <v>36</v>
      </c>
      <c r="H4" s="5"/>
      <c r="I4" s="3"/>
      <c r="J4" s="5"/>
      <c r="K4" s="5"/>
      <c r="L4" s="5"/>
      <c r="M4" s="5"/>
      <c r="N4" s="5"/>
      <c r="O4" s="5"/>
    </row>
    <row r="5" spans="1:15" ht="15.75" customHeight="1" x14ac:dyDescent="0.3">
      <c r="A5" s="13" t="s">
        <v>37</v>
      </c>
      <c r="B5" s="30">
        <f t="shared" si="0"/>
        <v>46123</v>
      </c>
      <c r="C5" s="14" t="s">
        <v>38</v>
      </c>
      <c r="D5" s="14" t="s">
        <v>39</v>
      </c>
      <c r="E5" s="14">
        <v>900</v>
      </c>
      <c r="F5" s="14">
        <v>25</v>
      </c>
      <c r="G5" s="15" t="s">
        <v>28</v>
      </c>
      <c r="H5" s="5"/>
      <c r="I5" s="31"/>
      <c r="J5" s="5"/>
      <c r="K5" s="5"/>
      <c r="L5" s="5"/>
      <c r="M5" s="5"/>
      <c r="N5" s="5"/>
      <c r="O5" s="5"/>
    </row>
    <row r="6" spans="1:15" ht="15.75" customHeight="1" x14ac:dyDescent="0.25">
      <c r="A6" s="10" t="s">
        <v>40</v>
      </c>
      <c r="B6" s="30">
        <f t="shared" si="0"/>
        <v>46164</v>
      </c>
      <c r="C6" s="11" t="s">
        <v>41</v>
      </c>
      <c r="D6" s="11" t="s">
        <v>42</v>
      </c>
      <c r="E6" s="11">
        <v>70</v>
      </c>
      <c r="F6" s="11">
        <v>20</v>
      </c>
      <c r="G6" s="12"/>
    </row>
    <row r="7" spans="1:15" ht="15.75" customHeight="1" x14ac:dyDescent="0.25">
      <c r="A7" s="13" t="s">
        <v>43</v>
      </c>
      <c r="B7" s="30">
        <f t="shared" si="0"/>
        <v>46180</v>
      </c>
      <c r="C7" s="14" t="s">
        <v>44</v>
      </c>
      <c r="D7" s="14" t="s">
        <v>45</v>
      </c>
      <c r="E7" s="14"/>
      <c r="F7" s="14">
        <v>45</v>
      </c>
      <c r="G7" s="15" t="s">
        <v>46</v>
      </c>
    </row>
    <row r="8" spans="1:15" ht="15.75" customHeight="1" x14ac:dyDescent="0.25">
      <c r="A8" s="10" t="s">
        <v>47</v>
      </c>
      <c r="B8" s="30">
        <f t="shared" si="0"/>
        <v>46222</v>
      </c>
      <c r="C8" s="11" t="s">
        <v>48</v>
      </c>
      <c r="D8" s="11" t="s">
        <v>49</v>
      </c>
      <c r="E8" s="11">
        <v>30</v>
      </c>
      <c r="F8" s="11">
        <v>5</v>
      </c>
      <c r="G8" s="12" t="s">
        <v>32</v>
      </c>
    </row>
    <row r="9" spans="1:15" ht="15.75" customHeight="1" x14ac:dyDescent="0.25">
      <c r="A9" s="13" t="s">
        <v>50</v>
      </c>
      <c r="B9" s="30">
        <f t="shared" si="0"/>
        <v>46257</v>
      </c>
      <c r="C9" s="14" t="s">
        <v>51</v>
      </c>
      <c r="D9" s="14" t="s">
        <v>52</v>
      </c>
      <c r="E9" s="14">
        <v>90</v>
      </c>
      <c r="F9" s="14">
        <v>35</v>
      </c>
      <c r="G9" s="15" t="s">
        <v>36</v>
      </c>
    </row>
    <row r="10" spans="1:15" ht="15.75" customHeight="1" x14ac:dyDescent="0.25">
      <c r="A10" s="10" t="s">
        <v>53</v>
      </c>
      <c r="B10" s="30">
        <f t="shared" si="0"/>
        <v>46270</v>
      </c>
      <c r="C10" s="11" t="s">
        <v>54</v>
      </c>
      <c r="D10" s="11" t="s">
        <v>55</v>
      </c>
      <c r="E10" s="11">
        <v>500</v>
      </c>
      <c r="F10" s="11">
        <v>50</v>
      </c>
      <c r="G10" s="12" t="s">
        <v>28</v>
      </c>
    </row>
    <row r="11" spans="1:15" ht="15.75" customHeight="1" x14ac:dyDescent="0.25">
      <c r="A11" s="13" t="s">
        <v>56</v>
      </c>
      <c r="B11" s="30">
        <f t="shared" si="0"/>
        <v>46309</v>
      </c>
      <c r="C11" s="14" t="s">
        <v>57</v>
      </c>
      <c r="D11" s="14" t="s">
        <v>58</v>
      </c>
      <c r="E11" s="14">
        <v>130</v>
      </c>
      <c r="F11" s="14">
        <v>10</v>
      </c>
      <c r="G11" s="15" t="s">
        <v>59</v>
      </c>
    </row>
    <row r="12" spans="1:15" ht="15.75" customHeight="1" x14ac:dyDescent="0.25">
      <c r="A12" s="10" t="s">
        <v>60</v>
      </c>
      <c r="B12" s="30">
        <f t="shared" si="0"/>
        <v>46190</v>
      </c>
      <c r="C12" s="11" t="s">
        <v>61</v>
      </c>
      <c r="D12" s="11" t="s">
        <v>62</v>
      </c>
      <c r="E12" s="11">
        <v>950</v>
      </c>
      <c r="F12" s="11">
        <v>25</v>
      </c>
      <c r="G12" s="12" t="s">
        <v>28</v>
      </c>
    </row>
    <row r="13" spans="1:15" ht="15.75" customHeight="1" x14ac:dyDescent="0.25">
      <c r="A13" s="13" t="s">
        <v>63</v>
      </c>
      <c r="B13" s="30">
        <f t="shared" si="0"/>
        <v>46351</v>
      </c>
      <c r="C13" s="14" t="s">
        <v>30</v>
      </c>
      <c r="D13" s="14" t="s">
        <v>49</v>
      </c>
      <c r="E13" s="14">
        <v>90</v>
      </c>
      <c r="F13" s="14">
        <v>40</v>
      </c>
      <c r="G13" s="15"/>
    </row>
    <row r="14" spans="1:15" ht="15.75" customHeight="1" x14ac:dyDescent="0.25">
      <c r="A14" s="10" t="s">
        <v>64</v>
      </c>
      <c r="B14" s="30">
        <f t="shared" si="0"/>
        <v>46364</v>
      </c>
      <c r="C14" s="11" t="s">
        <v>34</v>
      </c>
      <c r="D14" s="11" t="s">
        <v>65</v>
      </c>
      <c r="E14" s="11">
        <v>120</v>
      </c>
      <c r="F14" s="11">
        <v>35</v>
      </c>
      <c r="G14" s="12"/>
    </row>
    <row r="15" spans="1:15" ht="15.75" customHeight="1" x14ac:dyDescent="0.25">
      <c r="A15" s="13" t="s">
        <v>66</v>
      </c>
      <c r="B15" s="30">
        <f t="shared" si="0"/>
        <v>46071</v>
      </c>
      <c r="C15" s="14" t="s">
        <v>67</v>
      </c>
      <c r="D15" s="14" t="s">
        <v>68</v>
      </c>
      <c r="E15" s="14">
        <v>150</v>
      </c>
      <c r="F15" s="14">
        <v>15</v>
      </c>
      <c r="G15" s="15" t="s">
        <v>46</v>
      </c>
    </row>
    <row r="16" spans="1:15" ht="15.75" customHeight="1" x14ac:dyDescent="0.25">
      <c r="A16" s="10" t="s">
        <v>69</v>
      </c>
      <c r="B16" s="30">
        <f t="shared" si="0"/>
        <v>46128</v>
      </c>
      <c r="C16" s="11" t="s">
        <v>70</v>
      </c>
      <c r="D16" s="11" t="s">
        <v>71</v>
      </c>
      <c r="E16" s="11">
        <v>250</v>
      </c>
      <c r="F16" s="11">
        <v>20</v>
      </c>
      <c r="G16" s="12" t="s">
        <v>46</v>
      </c>
    </row>
    <row r="17" spans="1:7" ht="15.75" customHeight="1" x14ac:dyDescent="0.25">
      <c r="A17" s="13" t="s">
        <v>72</v>
      </c>
      <c r="B17" s="30">
        <f t="shared" si="0"/>
        <v>46255</v>
      </c>
      <c r="C17" s="14" t="s">
        <v>73</v>
      </c>
      <c r="D17" s="14" t="s">
        <v>74</v>
      </c>
      <c r="E17" s="14">
        <v>50</v>
      </c>
      <c r="F17" s="14">
        <v>35</v>
      </c>
      <c r="G17" s="15" t="s">
        <v>75</v>
      </c>
    </row>
    <row r="18" spans="1:7" ht="15.75" customHeight="1" x14ac:dyDescent="0.25">
      <c r="A18" s="10" t="s">
        <v>76</v>
      </c>
      <c r="B18" s="30">
        <f t="shared" si="0"/>
        <v>46254</v>
      </c>
      <c r="C18" s="11" t="s">
        <v>67</v>
      </c>
      <c r="D18" s="11" t="s">
        <v>77</v>
      </c>
      <c r="E18" s="11">
        <v>160</v>
      </c>
      <c r="F18" s="11">
        <v>15</v>
      </c>
      <c r="G18" s="12" t="s">
        <v>46</v>
      </c>
    </row>
    <row r="19" spans="1:7" ht="15.75" customHeight="1" x14ac:dyDescent="0.25">
      <c r="A19" s="13" t="s">
        <v>78</v>
      </c>
      <c r="B19" s="30">
        <f t="shared" si="0"/>
        <v>46049</v>
      </c>
      <c r="C19" s="14" t="s">
        <v>26</v>
      </c>
      <c r="D19" s="14" t="s">
        <v>79</v>
      </c>
      <c r="E19" s="14">
        <v>980</v>
      </c>
      <c r="F19" s="14">
        <v>10</v>
      </c>
      <c r="G19" s="15" t="s">
        <v>28</v>
      </c>
    </row>
    <row r="20" spans="1:7" ht="15.75" customHeight="1" x14ac:dyDescent="0.25">
      <c r="A20" s="10" t="s">
        <v>80</v>
      </c>
      <c r="B20" s="30">
        <f t="shared" si="0"/>
        <v>46082</v>
      </c>
      <c r="C20" s="11" t="s">
        <v>81</v>
      </c>
      <c r="D20" s="11" t="s">
        <v>82</v>
      </c>
      <c r="E20" s="11">
        <v>150</v>
      </c>
      <c r="F20" s="11">
        <v>15</v>
      </c>
      <c r="G20" s="12" t="s">
        <v>32</v>
      </c>
    </row>
    <row r="21" spans="1:7" ht="15.75" customHeight="1" x14ac:dyDescent="0.25">
      <c r="A21" s="13" t="s">
        <v>83</v>
      </c>
      <c r="B21" s="30">
        <f t="shared" si="0"/>
        <v>46248</v>
      </c>
      <c r="C21" s="14" t="s">
        <v>84</v>
      </c>
      <c r="D21" s="14" t="s">
        <v>85</v>
      </c>
      <c r="E21" s="14"/>
      <c r="F21" s="14">
        <v>10</v>
      </c>
      <c r="G21" s="15" t="s">
        <v>59</v>
      </c>
    </row>
    <row r="22" spans="1:7" ht="15.75" customHeight="1" x14ac:dyDescent="0.25">
      <c r="A22" s="10" t="s">
        <v>86</v>
      </c>
      <c r="B22" s="30">
        <f t="shared" si="0"/>
        <v>46156</v>
      </c>
      <c r="C22" s="11" t="s">
        <v>87</v>
      </c>
      <c r="D22" s="11" t="s">
        <v>88</v>
      </c>
      <c r="E22" s="11">
        <v>700</v>
      </c>
      <c r="F22" s="11">
        <v>50</v>
      </c>
      <c r="G22" s="12" t="s">
        <v>28</v>
      </c>
    </row>
    <row r="23" spans="1:7" ht="15.75" customHeight="1" x14ac:dyDescent="0.25">
      <c r="A23" s="13" t="s">
        <v>89</v>
      </c>
      <c r="B23" s="30">
        <f t="shared" si="0"/>
        <v>46031</v>
      </c>
      <c r="C23" s="14" t="s">
        <v>90</v>
      </c>
      <c r="D23" s="14" t="s">
        <v>91</v>
      </c>
      <c r="E23" s="14">
        <v>80</v>
      </c>
      <c r="F23" s="14">
        <v>20</v>
      </c>
      <c r="G23" s="15" t="s">
        <v>36</v>
      </c>
    </row>
    <row r="24" spans="1:7" ht="15.75" customHeight="1" x14ac:dyDescent="0.25">
      <c r="A24" s="10" t="s">
        <v>92</v>
      </c>
      <c r="B24" s="30">
        <f t="shared" si="0"/>
        <v>46222</v>
      </c>
      <c r="C24" s="11" t="s">
        <v>93</v>
      </c>
      <c r="D24" s="11" t="s">
        <v>94</v>
      </c>
      <c r="E24" s="11">
        <v>150</v>
      </c>
      <c r="F24" s="11">
        <v>30</v>
      </c>
      <c r="G24" s="12"/>
    </row>
    <row r="25" spans="1:7" ht="15.75" customHeight="1" x14ac:dyDescent="0.25">
      <c r="A25" s="13" t="s">
        <v>72</v>
      </c>
      <c r="B25" s="30">
        <f t="shared" si="0"/>
        <v>46255</v>
      </c>
      <c r="C25" s="14" t="s">
        <v>73</v>
      </c>
      <c r="D25" s="14" t="s">
        <v>74</v>
      </c>
      <c r="E25" s="14">
        <v>50</v>
      </c>
      <c r="F25" s="14">
        <v>35</v>
      </c>
      <c r="G25" s="15" t="s">
        <v>75</v>
      </c>
    </row>
    <row r="26" spans="1:7" ht="15.75" customHeight="1" x14ac:dyDescent="0.25">
      <c r="A26" s="10" t="s">
        <v>95</v>
      </c>
      <c r="B26" s="30">
        <f t="shared" si="0"/>
        <v>46294</v>
      </c>
      <c r="C26" s="11" t="s">
        <v>96</v>
      </c>
      <c r="D26" s="11" t="s">
        <v>97</v>
      </c>
      <c r="E26" s="11">
        <v>800</v>
      </c>
      <c r="F26" s="11">
        <v>45</v>
      </c>
      <c r="G26" s="12" t="s">
        <v>28</v>
      </c>
    </row>
    <row r="27" spans="1:7" ht="15.75" customHeight="1" x14ac:dyDescent="0.25">
      <c r="A27" s="13" t="s">
        <v>98</v>
      </c>
      <c r="B27" s="30">
        <f t="shared" si="0"/>
        <v>46176</v>
      </c>
      <c r="C27" s="14" t="s">
        <v>81</v>
      </c>
      <c r="D27" s="14" t="s">
        <v>99</v>
      </c>
      <c r="E27" s="14"/>
      <c r="F27" s="14">
        <v>25</v>
      </c>
      <c r="G27" s="15" t="s">
        <v>32</v>
      </c>
    </row>
    <row r="28" spans="1:7" ht="15.75" customHeight="1" x14ac:dyDescent="0.25">
      <c r="A28" s="10" t="s">
        <v>100</v>
      </c>
      <c r="B28" s="30">
        <f t="shared" si="0"/>
        <v>46214</v>
      </c>
      <c r="C28" s="11" t="s">
        <v>51</v>
      </c>
      <c r="D28" s="11" t="s">
        <v>101</v>
      </c>
      <c r="E28" s="11">
        <v>400</v>
      </c>
      <c r="F28" s="11">
        <v>40</v>
      </c>
      <c r="G28" s="12" t="s">
        <v>36</v>
      </c>
    </row>
    <row r="29" spans="1:7" ht="15.75" customHeight="1" x14ac:dyDescent="0.25">
      <c r="A29" s="13" t="s">
        <v>69</v>
      </c>
      <c r="B29" s="30">
        <f t="shared" si="0"/>
        <v>46128</v>
      </c>
      <c r="C29" s="14" t="s">
        <v>70</v>
      </c>
      <c r="D29" s="14" t="s">
        <v>71</v>
      </c>
      <c r="E29" s="14">
        <v>250</v>
      </c>
      <c r="F29" s="14">
        <v>20</v>
      </c>
      <c r="G29" s="15" t="s">
        <v>46</v>
      </c>
    </row>
    <row r="30" spans="1:7" ht="15.75" customHeight="1" x14ac:dyDescent="0.25">
      <c r="A30" s="10" t="s">
        <v>102</v>
      </c>
      <c r="B30" s="30">
        <f t="shared" si="0"/>
        <v>46088</v>
      </c>
      <c r="C30" s="11" t="s">
        <v>103</v>
      </c>
      <c r="D30" s="11" t="s">
        <v>104</v>
      </c>
      <c r="E30" s="11">
        <v>60</v>
      </c>
      <c r="F30" s="11">
        <v>30</v>
      </c>
      <c r="G30" s="12" t="s">
        <v>32</v>
      </c>
    </row>
    <row r="31" spans="1:7" ht="15.75" customHeight="1" x14ac:dyDescent="0.25">
      <c r="A31" s="13" t="s">
        <v>105</v>
      </c>
      <c r="B31" s="30">
        <f t="shared" si="0"/>
        <v>46125</v>
      </c>
      <c r="C31" s="14" t="s">
        <v>106</v>
      </c>
      <c r="D31" s="14" t="s">
        <v>107</v>
      </c>
      <c r="E31" s="14">
        <v>40</v>
      </c>
      <c r="F31" s="14">
        <v>10</v>
      </c>
      <c r="G31" s="15" t="s">
        <v>36</v>
      </c>
    </row>
    <row r="32" spans="1:7" ht="15.75" customHeight="1" x14ac:dyDescent="0.25">
      <c r="A32" s="10" t="s">
        <v>108</v>
      </c>
      <c r="B32" s="30">
        <f t="shared" si="0"/>
        <v>46166</v>
      </c>
      <c r="C32" s="11" t="s">
        <v>93</v>
      </c>
      <c r="D32" s="11" t="s">
        <v>109</v>
      </c>
      <c r="E32" s="11">
        <v>130</v>
      </c>
      <c r="F32" s="11">
        <v>5</v>
      </c>
      <c r="G32" s="12" t="s">
        <v>28</v>
      </c>
    </row>
    <row r="33" spans="1:7" ht="15.75" customHeight="1" x14ac:dyDescent="0.25">
      <c r="A33" s="13" t="s">
        <v>110</v>
      </c>
      <c r="B33" s="30">
        <f t="shared" si="0"/>
        <v>46358</v>
      </c>
      <c r="C33" s="14" t="s">
        <v>111</v>
      </c>
      <c r="D33" s="14" t="s">
        <v>112</v>
      </c>
      <c r="E33" s="14">
        <v>50</v>
      </c>
      <c r="F33" s="14">
        <v>50</v>
      </c>
      <c r="G33" s="15" t="s">
        <v>32</v>
      </c>
    </row>
    <row r="34" spans="1:7" ht="15.75" customHeight="1" x14ac:dyDescent="0.25">
      <c r="A34" s="10" t="s">
        <v>60</v>
      </c>
      <c r="B34" s="30">
        <f t="shared" si="0"/>
        <v>46190</v>
      </c>
      <c r="C34" s="11" t="s">
        <v>61</v>
      </c>
      <c r="D34" s="11" t="s">
        <v>62</v>
      </c>
      <c r="E34" s="11">
        <v>950</v>
      </c>
      <c r="F34" s="11">
        <v>25</v>
      </c>
      <c r="G34" s="12" t="s">
        <v>28</v>
      </c>
    </row>
    <row r="35" spans="1:7" ht="15.75" customHeight="1" x14ac:dyDescent="0.25">
      <c r="A35" s="16" t="s">
        <v>113</v>
      </c>
      <c r="B35" s="30">
        <f t="shared" si="0"/>
        <v>46212</v>
      </c>
      <c r="C35" s="17" t="s">
        <v>114</v>
      </c>
      <c r="D35" s="17" t="s">
        <v>115</v>
      </c>
      <c r="E35" s="17">
        <v>100</v>
      </c>
      <c r="F35" s="17">
        <v>20</v>
      </c>
      <c r="G35" s="18" t="s">
        <v>75</v>
      </c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0C52-5213-47EC-981C-A2A4D4ADC6E6}">
  <dimension ref="A1:K36"/>
  <sheetViews>
    <sheetView tabSelected="1" workbookViewId="0">
      <selection activeCell="H1" sqref="H1:H1048576"/>
    </sheetView>
  </sheetViews>
  <sheetFormatPr defaultRowHeight="13.8" x14ac:dyDescent="0.25"/>
  <cols>
    <col min="1" max="1" width="21.21875" customWidth="1"/>
    <col min="2" max="2" width="21.44140625" style="34" customWidth="1"/>
    <col min="3" max="3" width="13.5546875" style="21" customWidth="1"/>
    <col min="4" max="4" width="17.6640625" style="21" customWidth="1"/>
    <col min="5" max="5" width="15.33203125" style="21" customWidth="1"/>
    <col min="6" max="6" width="14.21875" style="21" customWidth="1"/>
    <col min="7" max="7" width="25.88671875" style="21" customWidth="1"/>
    <col min="8" max="8" width="14.77734375" style="27" hidden="1" customWidth="1"/>
    <col min="9" max="9" width="11.33203125" style="21" customWidth="1"/>
    <col min="10" max="10" width="18.109375" style="29" customWidth="1"/>
    <col min="11" max="11" width="16.77734375" style="27" customWidth="1"/>
    <col min="12" max="16384" width="8.88671875" style="21"/>
  </cols>
  <sheetData>
    <row r="1" spans="1:11" ht="15.6" x14ac:dyDescent="0.3">
      <c r="A1" s="35" t="s">
        <v>19</v>
      </c>
      <c r="B1" s="44" t="s">
        <v>145</v>
      </c>
      <c r="C1" s="36" t="s">
        <v>119</v>
      </c>
      <c r="D1" s="36" t="s">
        <v>118</v>
      </c>
      <c r="E1" s="37" t="s">
        <v>20</v>
      </c>
      <c r="F1" s="37" t="s">
        <v>21</v>
      </c>
      <c r="G1" s="37" t="s">
        <v>144</v>
      </c>
      <c r="H1" s="38" t="s">
        <v>22</v>
      </c>
      <c r="I1" s="37" t="s">
        <v>23</v>
      </c>
      <c r="J1" s="39" t="s">
        <v>24</v>
      </c>
      <c r="K1" s="42" t="s">
        <v>146</v>
      </c>
    </row>
    <row r="2" spans="1:11" x14ac:dyDescent="0.25">
      <c r="A2" s="33" t="s">
        <v>25</v>
      </c>
      <c r="B2" s="45">
        <f>DATEVALUE(LEFT(A2,6))</f>
        <v>46050</v>
      </c>
      <c r="C2" s="23" t="s">
        <v>120</v>
      </c>
      <c r="D2" s="22" t="s">
        <v>121</v>
      </c>
      <c r="E2" s="24" t="s">
        <v>61</v>
      </c>
      <c r="F2" s="25" t="s">
        <v>27</v>
      </c>
      <c r="G2" s="24" t="str">
        <f>CONCATENATE(Table1[Product Name]," ",Table1[Brand Name])</f>
        <v>Laptop Dell</v>
      </c>
      <c r="H2" s="26">
        <v>1000</v>
      </c>
      <c r="I2" s="24">
        <v>30</v>
      </c>
      <c r="J2" s="28" t="s">
        <v>28</v>
      </c>
      <c r="K2" s="43">
        <f>IF(H2="",AVERAGEIF(Table1[Product Name],E2,Table1[Price ($)]),H2)</f>
        <v>1000</v>
      </c>
    </row>
    <row r="3" spans="1:11" x14ac:dyDescent="0.25">
      <c r="A3" s="13" t="s">
        <v>29</v>
      </c>
      <c r="B3" s="45">
        <f t="shared" ref="B3:B32" si="0">DATEVALUE(LEFT(A3,6))</f>
        <v>46068</v>
      </c>
      <c r="C3" s="23" t="s">
        <v>122</v>
      </c>
      <c r="D3" s="22" t="s">
        <v>121</v>
      </c>
      <c r="E3" s="24" t="s">
        <v>30</v>
      </c>
      <c r="F3" s="24" t="s">
        <v>31</v>
      </c>
      <c r="G3" s="24" t="str">
        <f>CONCATENATE(Table1[Product Name]," ",Table1[Brand Name])</f>
        <v>Sneakers Nike</v>
      </c>
      <c r="H3" s="26">
        <v>80</v>
      </c>
      <c r="I3" s="24">
        <v>15</v>
      </c>
      <c r="J3" s="28" t="s">
        <v>32</v>
      </c>
      <c r="K3" s="43">
        <f>IF(H3="",AVERAGEIF(Table1[Product Name],E3,Table1[Price ($)]),H3)</f>
        <v>80</v>
      </c>
    </row>
    <row r="4" spans="1:11" x14ac:dyDescent="0.25">
      <c r="A4" s="10" t="s">
        <v>33</v>
      </c>
      <c r="B4" s="45">
        <f t="shared" si="0"/>
        <v>46084</v>
      </c>
      <c r="C4" s="22" t="s">
        <v>123</v>
      </c>
      <c r="D4" s="22" t="s">
        <v>121</v>
      </c>
      <c r="E4" s="24" t="s">
        <v>34</v>
      </c>
      <c r="F4" s="24" t="s">
        <v>35</v>
      </c>
      <c r="G4" s="24" t="str">
        <f>CONCATENATE(Table1[Product Name]," ",Table1[Brand Name])</f>
        <v>Coffee Maker Keurig</v>
      </c>
      <c r="H4" s="26">
        <v>130</v>
      </c>
      <c r="I4" s="24">
        <v>40</v>
      </c>
      <c r="J4" s="28" t="s">
        <v>36</v>
      </c>
      <c r="K4" s="43">
        <f>IF(H4="",AVERAGEIF(Table1[Product Name],E4,Table1[Price ($)]),H4)</f>
        <v>130</v>
      </c>
    </row>
    <row r="5" spans="1:11" x14ac:dyDescent="0.25">
      <c r="A5" s="13" t="s">
        <v>37</v>
      </c>
      <c r="B5" s="45">
        <f t="shared" si="0"/>
        <v>46123</v>
      </c>
      <c r="C5" s="22" t="s">
        <v>124</v>
      </c>
      <c r="D5" s="22" t="s">
        <v>121</v>
      </c>
      <c r="E5" s="24" t="s">
        <v>96</v>
      </c>
      <c r="F5" s="24" t="s">
        <v>39</v>
      </c>
      <c r="G5" s="24" t="str">
        <f>CONCATENATE(Table1[Product Name]," ",Table1[Brand Name])</f>
        <v>Smartphone Samsung</v>
      </c>
      <c r="H5" s="26">
        <v>900</v>
      </c>
      <c r="I5" s="24">
        <v>25</v>
      </c>
      <c r="J5" s="28" t="s">
        <v>28</v>
      </c>
      <c r="K5" s="43">
        <f>IF(H5="",AVERAGEIF(Table1[Product Name],E5,Table1[Price ($)]),H5)</f>
        <v>900</v>
      </c>
    </row>
    <row r="6" spans="1:11" x14ac:dyDescent="0.25">
      <c r="A6" s="10" t="s">
        <v>40</v>
      </c>
      <c r="B6" s="45">
        <f t="shared" si="0"/>
        <v>46164</v>
      </c>
      <c r="C6" s="22" t="s">
        <v>125</v>
      </c>
      <c r="D6" s="22" t="s">
        <v>121</v>
      </c>
      <c r="E6" s="24" t="s">
        <v>41</v>
      </c>
      <c r="F6" s="24" t="s">
        <v>42</v>
      </c>
      <c r="G6" s="24" t="str">
        <f>CONCATENATE(Table1[Product Name]," ",Table1[Brand Name])</f>
        <v>Backpack North Face</v>
      </c>
      <c r="H6" s="26">
        <v>70</v>
      </c>
      <c r="I6" s="24">
        <v>20</v>
      </c>
      <c r="J6" s="40" t="s">
        <v>28</v>
      </c>
      <c r="K6" s="43">
        <f>IF(H6="",AVERAGEIF(Table1[Product Name],E6,Table1[Price ($)]),H6)</f>
        <v>70</v>
      </c>
    </row>
    <row r="7" spans="1:11" x14ac:dyDescent="0.25">
      <c r="A7" s="13" t="s">
        <v>43</v>
      </c>
      <c r="B7" s="45">
        <f t="shared" si="0"/>
        <v>46180</v>
      </c>
      <c r="C7" s="22" t="s">
        <v>126</v>
      </c>
      <c r="D7" s="22" t="s">
        <v>127</v>
      </c>
      <c r="E7" s="24" t="s">
        <v>44</v>
      </c>
      <c r="F7" s="24" t="s">
        <v>45</v>
      </c>
      <c r="G7" s="24" t="str">
        <f>CONCATENATE(Table1[Product Name]," ",Table1[Brand Name])</f>
        <v>Headphones Sony</v>
      </c>
      <c r="H7" s="26"/>
      <c r="I7" s="24">
        <v>45</v>
      </c>
      <c r="J7" s="28" t="s">
        <v>28</v>
      </c>
      <c r="K7" s="43">
        <f>IF(H7="",AVERAGEIF(Table1[Product Name],E7,Table1[Price ($)]),H7)</f>
        <v>250</v>
      </c>
    </row>
    <row r="8" spans="1:11" x14ac:dyDescent="0.25">
      <c r="A8" s="10" t="s">
        <v>47</v>
      </c>
      <c r="B8" s="45">
        <f t="shared" si="0"/>
        <v>46222</v>
      </c>
      <c r="C8" s="22" t="s">
        <v>128</v>
      </c>
      <c r="D8" s="22" t="s">
        <v>127</v>
      </c>
      <c r="E8" s="24" t="s">
        <v>117</v>
      </c>
      <c r="F8" s="24" t="s">
        <v>49</v>
      </c>
      <c r="G8" s="24" t="str">
        <f>CONCATENATE(Table1[Product Name]," ",Table1[Brand Name])</f>
        <v>T-Shirt Adidas</v>
      </c>
      <c r="H8" s="26">
        <v>30</v>
      </c>
      <c r="I8" s="24">
        <v>5</v>
      </c>
      <c r="J8" s="28" t="s">
        <v>32</v>
      </c>
      <c r="K8" s="43">
        <f>IF(H8="",AVERAGEIF(Table1[Product Name],E8,Table1[Price ($)]),H8)</f>
        <v>30</v>
      </c>
    </row>
    <row r="9" spans="1:11" x14ac:dyDescent="0.25">
      <c r="A9" s="13" t="s">
        <v>50</v>
      </c>
      <c r="B9" s="45">
        <f t="shared" si="0"/>
        <v>46257</v>
      </c>
      <c r="C9" s="22" t="s">
        <v>129</v>
      </c>
      <c r="D9" s="22" t="s">
        <v>127</v>
      </c>
      <c r="E9" s="24" t="s">
        <v>51</v>
      </c>
      <c r="F9" s="24" t="s">
        <v>52</v>
      </c>
      <c r="G9" s="24" t="str">
        <f>CONCATENATE(Table1[Product Name]," ",Table1[Brand Name])</f>
        <v>Blender Ninja</v>
      </c>
      <c r="H9" s="26">
        <v>90</v>
      </c>
      <c r="I9" s="24">
        <v>35</v>
      </c>
      <c r="J9" s="28" t="s">
        <v>36</v>
      </c>
      <c r="K9" s="43">
        <f>IF(H9="",AVERAGEIF(Table1[Product Name],E9,Table1[Price ($)]),H9)</f>
        <v>90</v>
      </c>
    </row>
    <row r="10" spans="1:11" x14ac:dyDescent="0.25">
      <c r="A10" s="10" t="s">
        <v>53</v>
      </c>
      <c r="B10" s="45">
        <f t="shared" si="0"/>
        <v>46270</v>
      </c>
      <c r="C10" s="22" t="s">
        <v>130</v>
      </c>
      <c r="D10" s="22" t="s">
        <v>127</v>
      </c>
      <c r="E10" s="24" t="s">
        <v>54</v>
      </c>
      <c r="F10" s="24" t="s">
        <v>55</v>
      </c>
      <c r="G10" s="24" t="str">
        <f>CONCATENATE(Table1[Product Name]," ",Table1[Brand Name])</f>
        <v>Tablet Apple</v>
      </c>
      <c r="H10" s="26">
        <v>500</v>
      </c>
      <c r="I10" s="24">
        <v>50</v>
      </c>
      <c r="J10" s="28" t="s">
        <v>28</v>
      </c>
      <c r="K10" s="43">
        <f>IF(H10="",AVERAGEIF(Table1[Product Name],E10,Table1[Price ($)]),H10)</f>
        <v>500</v>
      </c>
    </row>
    <row r="11" spans="1:11" x14ac:dyDescent="0.25">
      <c r="A11" s="13" t="s">
        <v>56</v>
      </c>
      <c r="B11" s="45">
        <f t="shared" si="0"/>
        <v>46309</v>
      </c>
      <c r="C11" s="22" t="s">
        <v>131</v>
      </c>
      <c r="D11" s="22" t="s">
        <v>127</v>
      </c>
      <c r="E11" s="24" t="s">
        <v>57</v>
      </c>
      <c r="F11" s="24" t="s">
        <v>58</v>
      </c>
      <c r="G11" s="24" t="str">
        <f>CONCATENATE(Table1[Product Name]," ",Table1[Brand Name])</f>
        <v>Hiking Boots Timberland</v>
      </c>
      <c r="H11" s="26">
        <v>130</v>
      </c>
      <c r="I11" s="24">
        <v>10</v>
      </c>
      <c r="J11" s="28" t="s">
        <v>59</v>
      </c>
      <c r="K11" s="43">
        <f>IF(H11="",AVERAGEIF(Table1[Product Name],E11,Table1[Price ($)]),H11)</f>
        <v>130</v>
      </c>
    </row>
    <row r="12" spans="1:11" x14ac:dyDescent="0.25">
      <c r="A12" s="10" t="s">
        <v>60</v>
      </c>
      <c r="B12" s="45">
        <f t="shared" si="0"/>
        <v>46190</v>
      </c>
      <c r="C12" s="22" t="s">
        <v>126</v>
      </c>
      <c r="D12" s="22" t="s">
        <v>132</v>
      </c>
      <c r="E12" s="24" t="s">
        <v>61</v>
      </c>
      <c r="F12" s="24" t="s">
        <v>62</v>
      </c>
      <c r="G12" s="24" t="str">
        <f>CONCATENATE(Table1[Product Name]," ",Table1[Brand Name])</f>
        <v>Laptop HP</v>
      </c>
      <c r="H12" s="26">
        <v>950</v>
      </c>
      <c r="I12" s="24">
        <v>25</v>
      </c>
      <c r="J12" s="28" t="s">
        <v>28</v>
      </c>
      <c r="K12" s="43">
        <f>IF(H12="",AVERAGEIF(Table1[Product Name],E12,Table1[Price ($)]),H12)</f>
        <v>950</v>
      </c>
    </row>
    <row r="13" spans="1:11" x14ac:dyDescent="0.25">
      <c r="A13" s="13" t="s">
        <v>63</v>
      </c>
      <c r="B13" s="45">
        <f t="shared" si="0"/>
        <v>46351</v>
      </c>
      <c r="C13" s="22" t="s">
        <v>133</v>
      </c>
      <c r="D13" s="22" t="s">
        <v>134</v>
      </c>
      <c r="E13" s="24" t="s">
        <v>30</v>
      </c>
      <c r="F13" s="24" t="s">
        <v>49</v>
      </c>
      <c r="G13" s="24" t="str">
        <f>CONCATENATE(Table1[Product Name]," ",Table1[Brand Name])</f>
        <v>Sneakers Adidas</v>
      </c>
      <c r="H13" s="26">
        <v>90</v>
      </c>
      <c r="I13" s="24">
        <v>40</v>
      </c>
      <c r="J13" s="40" t="s">
        <v>28</v>
      </c>
      <c r="K13" s="43">
        <f>IF(H13="",AVERAGEIF(Table1[Product Name],E13,Table1[Price ($)]),H13)</f>
        <v>90</v>
      </c>
    </row>
    <row r="14" spans="1:11" x14ac:dyDescent="0.25">
      <c r="A14" s="10" t="s">
        <v>64</v>
      </c>
      <c r="B14" s="45">
        <f t="shared" si="0"/>
        <v>46364</v>
      </c>
      <c r="C14" s="22" t="s">
        <v>135</v>
      </c>
      <c r="D14" s="22" t="s">
        <v>136</v>
      </c>
      <c r="E14" s="24" t="s">
        <v>34</v>
      </c>
      <c r="F14" s="24" t="s">
        <v>65</v>
      </c>
      <c r="G14" s="24" t="str">
        <f>CONCATENATE(Table1[Product Name]," ",Table1[Brand Name])</f>
        <v>Coffee Maker Nespresso</v>
      </c>
      <c r="H14" s="26">
        <v>120</v>
      </c>
      <c r="I14" s="24">
        <v>35</v>
      </c>
      <c r="J14" s="40" t="s">
        <v>28</v>
      </c>
      <c r="K14" s="43">
        <f>IF(H14="",AVERAGEIF(Table1[Product Name],E14,Table1[Price ($)]),H14)</f>
        <v>120</v>
      </c>
    </row>
    <row r="15" spans="1:11" x14ac:dyDescent="0.25">
      <c r="A15" s="13" t="s">
        <v>66</v>
      </c>
      <c r="B15" s="45">
        <f t="shared" si="0"/>
        <v>46071</v>
      </c>
      <c r="C15" s="22" t="s">
        <v>122</v>
      </c>
      <c r="D15" s="22" t="s">
        <v>137</v>
      </c>
      <c r="E15" s="24" t="s">
        <v>67</v>
      </c>
      <c r="F15" s="24" t="s">
        <v>68</v>
      </c>
      <c r="G15" s="24" t="str">
        <f>CONCATENATE(Table1[Product Name]," ",Table1[Brand Name])</f>
        <v>Smartwatch Fitbit</v>
      </c>
      <c r="H15" s="26">
        <v>150</v>
      </c>
      <c r="I15" s="24">
        <v>15</v>
      </c>
      <c r="J15" s="28" t="s">
        <v>28</v>
      </c>
      <c r="K15" s="43">
        <f>IF(H15="",AVERAGEIF(Table1[Product Name],E15,Table1[Price ($)]),H15)</f>
        <v>150</v>
      </c>
    </row>
    <row r="16" spans="1:11" x14ac:dyDescent="0.25">
      <c r="A16" s="10" t="s">
        <v>69</v>
      </c>
      <c r="B16" s="45">
        <f t="shared" si="0"/>
        <v>46128</v>
      </c>
      <c r="C16" s="22" t="s">
        <v>124</v>
      </c>
      <c r="D16" s="22" t="s">
        <v>138</v>
      </c>
      <c r="E16" s="24" t="s">
        <v>44</v>
      </c>
      <c r="F16" s="24" t="s">
        <v>71</v>
      </c>
      <c r="G16" s="24" t="str">
        <f>CONCATENATE(Table1[Product Name]," ",Table1[Brand Name])</f>
        <v>Headphones Bose</v>
      </c>
      <c r="H16" s="26">
        <v>250</v>
      </c>
      <c r="I16" s="24">
        <v>20</v>
      </c>
      <c r="J16" s="28" t="s">
        <v>28</v>
      </c>
      <c r="K16" s="43">
        <f>IF(H16="",AVERAGEIF(Table1[Product Name],E16,Table1[Price ($)]),H16)</f>
        <v>250</v>
      </c>
    </row>
    <row r="17" spans="1:11" x14ac:dyDescent="0.25">
      <c r="A17" s="13" t="s">
        <v>72</v>
      </c>
      <c r="B17" s="45">
        <f t="shared" si="0"/>
        <v>46255</v>
      </c>
      <c r="C17" s="22" t="s">
        <v>129</v>
      </c>
      <c r="D17" s="22" t="s">
        <v>137</v>
      </c>
      <c r="E17" s="24" t="s">
        <v>73</v>
      </c>
      <c r="F17" s="24" t="s">
        <v>74</v>
      </c>
      <c r="G17" s="24" t="str">
        <f>CONCATENATE(Table1[Product Name]," ",Table1[Brand Name])</f>
        <v>Laptop Bag Samsonite</v>
      </c>
      <c r="H17" s="26">
        <v>50</v>
      </c>
      <c r="I17" s="24">
        <v>35</v>
      </c>
      <c r="J17" s="28" t="s">
        <v>75</v>
      </c>
      <c r="K17" s="43">
        <f>IF(H17="",AVERAGEIF(Table1[Product Name],E17,Table1[Price ($)]),H17)</f>
        <v>50</v>
      </c>
    </row>
    <row r="18" spans="1:11" x14ac:dyDescent="0.25">
      <c r="A18" s="10" t="s">
        <v>76</v>
      </c>
      <c r="B18" s="45">
        <f t="shared" si="0"/>
        <v>46254</v>
      </c>
      <c r="C18" s="22" t="s">
        <v>129</v>
      </c>
      <c r="D18" s="22" t="s">
        <v>139</v>
      </c>
      <c r="E18" s="24" t="s">
        <v>67</v>
      </c>
      <c r="F18" s="24" t="s">
        <v>77</v>
      </c>
      <c r="G18" s="24" t="str">
        <f>CONCATENATE(Table1[Product Name]," ",Table1[Brand Name])</f>
        <v>Smartwatch Huawei</v>
      </c>
      <c r="H18" s="26">
        <v>160</v>
      </c>
      <c r="I18" s="24">
        <v>15</v>
      </c>
      <c r="J18" s="28" t="s">
        <v>28</v>
      </c>
      <c r="K18" s="43">
        <f>IF(H18="",AVERAGEIF(Table1[Product Name],E18,Table1[Price ($)]),H18)</f>
        <v>160</v>
      </c>
    </row>
    <row r="19" spans="1:11" x14ac:dyDescent="0.25">
      <c r="A19" s="13" t="s">
        <v>78</v>
      </c>
      <c r="B19" s="45">
        <f t="shared" si="0"/>
        <v>46049</v>
      </c>
      <c r="C19" s="22" t="s">
        <v>120</v>
      </c>
      <c r="D19" s="22" t="s">
        <v>140</v>
      </c>
      <c r="E19" s="24" t="s">
        <v>61</v>
      </c>
      <c r="F19" s="24" t="s">
        <v>79</v>
      </c>
      <c r="G19" s="24" t="str">
        <f>CONCATENATE(Table1[Product Name]," ",Table1[Brand Name])</f>
        <v>Laptop Asus</v>
      </c>
      <c r="H19" s="26">
        <v>980</v>
      </c>
      <c r="I19" s="24">
        <v>10</v>
      </c>
      <c r="J19" s="28" t="s">
        <v>28</v>
      </c>
      <c r="K19" s="43">
        <f>IF(H19="",AVERAGEIF(Table1[Product Name],E19,Table1[Price ($)]),H19)</f>
        <v>980</v>
      </c>
    </row>
    <row r="20" spans="1:11" x14ac:dyDescent="0.25">
      <c r="A20" s="10" t="s">
        <v>80</v>
      </c>
      <c r="B20" s="45">
        <f t="shared" si="0"/>
        <v>46082</v>
      </c>
      <c r="C20" s="22" t="s">
        <v>123</v>
      </c>
      <c r="D20" s="22" t="s">
        <v>127</v>
      </c>
      <c r="E20" s="24" t="s">
        <v>81</v>
      </c>
      <c r="F20" s="24" t="s">
        <v>82</v>
      </c>
      <c r="G20" s="24" t="str">
        <f>CONCATENATE(Table1[Product Name]," ",Table1[Brand Name])</f>
        <v>Sunglasses Oakley</v>
      </c>
      <c r="H20" s="26">
        <v>150</v>
      </c>
      <c r="I20" s="24">
        <v>15</v>
      </c>
      <c r="J20" s="28" t="s">
        <v>32</v>
      </c>
      <c r="K20" s="43">
        <f>IF(H20="",AVERAGEIF(Table1[Product Name],E20,Table1[Price ($)]),H20)</f>
        <v>150</v>
      </c>
    </row>
    <row r="21" spans="1:11" x14ac:dyDescent="0.25">
      <c r="A21" s="13" t="s">
        <v>83</v>
      </c>
      <c r="B21" s="45">
        <f t="shared" si="0"/>
        <v>46248</v>
      </c>
      <c r="C21" s="22" t="s">
        <v>129</v>
      </c>
      <c r="D21" s="22" t="s">
        <v>121</v>
      </c>
      <c r="E21" s="24" t="s">
        <v>84</v>
      </c>
      <c r="F21" s="24" t="s">
        <v>85</v>
      </c>
      <c r="G21" s="24" t="str">
        <f>CONCATENATE(Table1[Product Name]," ",Table1[Brand Name])</f>
        <v>Camping Tent Coleman</v>
      </c>
      <c r="H21" s="26"/>
      <c r="I21" s="24">
        <v>10</v>
      </c>
      <c r="J21" s="28" t="s">
        <v>59</v>
      </c>
      <c r="K21" s="43">
        <f>IF(H21="",AVERAGE(Table1[Product Name],Table1[Price ($)]),H21)</f>
        <v>297.85714285714283</v>
      </c>
    </row>
    <row r="22" spans="1:11" x14ac:dyDescent="0.25">
      <c r="A22" s="10" t="s">
        <v>86</v>
      </c>
      <c r="B22" s="45">
        <f t="shared" si="0"/>
        <v>46156</v>
      </c>
      <c r="C22" s="22" t="s">
        <v>125</v>
      </c>
      <c r="D22" s="22" t="s">
        <v>141</v>
      </c>
      <c r="E22" s="24" t="s">
        <v>87</v>
      </c>
      <c r="F22" s="24" t="s">
        <v>88</v>
      </c>
      <c r="G22" s="24" t="str">
        <f>CONCATENATE(Table1[Product Name]," ",Table1[Brand Name])</f>
        <v>Camera Nikon</v>
      </c>
      <c r="H22" s="26">
        <v>700</v>
      </c>
      <c r="I22" s="24">
        <v>50</v>
      </c>
      <c r="J22" s="28" t="s">
        <v>28</v>
      </c>
      <c r="K22" s="43">
        <f>IF(H22="",AVERAGEIF(Table1[Product Name],E22,Table1[Price ($)]),H22)</f>
        <v>700</v>
      </c>
    </row>
    <row r="23" spans="1:11" x14ac:dyDescent="0.25">
      <c r="A23" s="13" t="s">
        <v>89</v>
      </c>
      <c r="B23" s="45">
        <f t="shared" si="0"/>
        <v>46031</v>
      </c>
      <c r="C23" s="22" t="s">
        <v>120</v>
      </c>
      <c r="D23" s="22" t="s">
        <v>137</v>
      </c>
      <c r="E23" s="24" t="s">
        <v>90</v>
      </c>
      <c r="F23" s="24" t="s">
        <v>91</v>
      </c>
      <c r="G23" s="24" t="str">
        <f>CONCATENATE(Table1[Product Name]," ",Table1[Brand Name])</f>
        <v>Microwave Panasonic</v>
      </c>
      <c r="H23" s="26">
        <v>80</v>
      </c>
      <c r="I23" s="24">
        <v>20</v>
      </c>
      <c r="J23" s="28" t="s">
        <v>36</v>
      </c>
      <c r="K23" s="43">
        <f>IF(H23="",AVERAGEIF(Table1[Product Name],E23,Table1[Price ($)]),H23)</f>
        <v>80</v>
      </c>
    </row>
    <row r="24" spans="1:11" x14ac:dyDescent="0.25">
      <c r="A24" s="10" t="s">
        <v>92</v>
      </c>
      <c r="B24" s="45">
        <f t="shared" si="0"/>
        <v>46222</v>
      </c>
      <c r="C24" s="22" t="s">
        <v>128</v>
      </c>
      <c r="D24" s="22" t="s">
        <v>142</v>
      </c>
      <c r="E24" s="24" t="s">
        <v>93</v>
      </c>
      <c r="F24" s="24" t="s">
        <v>94</v>
      </c>
      <c r="G24" s="24" t="str">
        <f>CONCATENATE(Table1[Product Name]," ",Table1[Brand Name])</f>
        <v>Fitness Tracker Xiaomi</v>
      </c>
      <c r="H24" s="26">
        <v>150</v>
      </c>
      <c r="I24" s="24">
        <v>30</v>
      </c>
      <c r="J24" s="40" t="s">
        <v>28</v>
      </c>
      <c r="K24" s="43">
        <f>IF(H24="",AVERAGEIF(Table1[Product Name],E24,Table1[Price ($)]),H24)</f>
        <v>150</v>
      </c>
    </row>
    <row r="25" spans="1:11" x14ac:dyDescent="0.25">
      <c r="A25" s="10" t="s">
        <v>95</v>
      </c>
      <c r="B25" s="45">
        <f t="shared" si="0"/>
        <v>46294</v>
      </c>
      <c r="C25" s="22" t="s">
        <v>130</v>
      </c>
      <c r="D25" s="22" t="s">
        <v>137</v>
      </c>
      <c r="E25" s="24" t="s">
        <v>96</v>
      </c>
      <c r="F25" s="24" t="s">
        <v>97</v>
      </c>
      <c r="G25" s="24" t="str">
        <f>CONCATENATE(Table1[Product Name]," ",Table1[Brand Name])</f>
        <v>Smartphone Google</v>
      </c>
      <c r="H25" s="26">
        <v>800</v>
      </c>
      <c r="I25" s="24">
        <v>45</v>
      </c>
      <c r="J25" s="28" t="s">
        <v>28</v>
      </c>
      <c r="K25" s="43">
        <f>IF(H25="",AVERAGEIF(Table1[Product Name],E25,Table1[Price ($)]),H25)</f>
        <v>800</v>
      </c>
    </row>
    <row r="26" spans="1:11" x14ac:dyDescent="0.25">
      <c r="A26" s="13" t="s">
        <v>98</v>
      </c>
      <c r="B26" s="45">
        <f t="shared" si="0"/>
        <v>46176</v>
      </c>
      <c r="C26" s="22" t="s">
        <v>126</v>
      </c>
      <c r="D26" s="22" t="s">
        <v>137</v>
      </c>
      <c r="E26" s="24" t="s">
        <v>81</v>
      </c>
      <c r="F26" s="24" t="s">
        <v>99</v>
      </c>
      <c r="G26" s="24" t="str">
        <f>CONCATENATE(Table1[Product Name]," ",Table1[Brand Name])</f>
        <v>Sunglasses Ray-Ban</v>
      </c>
      <c r="H26" s="26"/>
      <c r="I26" s="24">
        <v>25</v>
      </c>
      <c r="J26" s="28" t="s">
        <v>32</v>
      </c>
      <c r="K26" s="43">
        <f>IF(H26="",AVERAGEIF(Table1[Product Name],E26,Table1[Price ($)]),H26)</f>
        <v>150</v>
      </c>
    </row>
    <row r="27" spans="1:11" x14ac:dyDescent="0.25">
      <c r="A27" s="10" t="s">
        <v>100</v>
      </c>
      <c r="B27" s="45">
        <f t="shared" si="0"/>
        <v>46214</v>
      </c>
      <c r="C27" s="22" t="s">
        <v>128</v>
      </c>
      <c r="D27" s="22" t="s">
        <v>137</v>
      </c>
      <c r="E27" s="24" t="s">
        <v>51</v>
      </c>
      <c r="F27" s="24" t="s">
        <v>101</v>
      </c>
      <c r="G27" s="24" t="str">
        <f>CONCATENATE(Table1[Product Name]," ",Table1[Brand Name])</f>
        <v>Blender Vitamix</v>
      </c>
      <c r="H27" s="26">
        <v>400</v>
      </c>
      <c r="I27" s="24">
        <v>40</v>
      </c>
      <c r="J27" s="28" t="s">
        <v>36</v>
      </c>
      <c r="K27" s="43">
        <f>IF(H27="",AVERAGEIF(Table1[Product Name],E27,Table1[Price ($)]),H27)</f>
        <v>400</v>
      </c>
    </row>
    <row r="28" spans="1:11" x14ac:dyDescent="0.25">
      <c r="A28" s="10" t="s">
        <v>102</v>
      </c>
      <c r="B28" s="45">
        <f t="shared" si="0"/>
        <v>46088</v>
      </c>
      <c r="C28" s="22" t="s">
        <v>123</v>
      </c>
      <c r="D28" s="22" t="s">
        <v>137</v>
      </c>
      <c r="E28" s="24" t="s">
        <v>103</v>
      </c>
      <c r="F28" s="24" t="s">
        <v>104</v>
      </c>
      <c r="G28" s="24" t="str">
        <f>CONCATENATE(Table1[Product Name]," ",Table1[Brand Name])</f>
        <v>Dress Zara</v>
      </c>
      <c r="H28" s="26">
        <v>60</v>
      </c>
      <c r="I28" s="24">
        <v>30</v>
      </c>
      <c r="J28" s="28" t="s">
        <v>32</v>
      </c>
      <c r="K28" s="43">
        <f>IF(H28="",AVERAGEIF(Table1[Product Name],E28,Table1[Price ($)]),H28)</f>
        <v>60</v>
      </c>
    </row>
    <row r="29" spans="1:11" x14ac:dyDescent="0.25">
      <c r="A29" s="13" t="s">
        <v>105</v>
      </c>
      <c r="B29" s="45">
        <f t="shared" si="0"/>
        <v>46125</v>
      </c>
      <c r="C29" s="22" t="s">
        <v>124</v>
      </c>
      <c r="D29" s="22" t="s">
        <v>137</v>
      </c>
      <c r="E29" s="24" t="s">
        <v>106</v>
      </c>
      <c r="F29" s="24" t="s">
        <v>107</v>
      </c>
      <c r="G29" s="24" t="str">
        <f>CONCATENATE(Table1[Product Name]," ",Table1[Brand Name])</f>
        <v>Toaster Hamilton</v>
      </c>
      <c r="H29" s="26">
        <v>40</v>
      </c>
      <c r="I29" s="24">
        <v>10</v>
      </c>
      <c r="J29" s="28" t="s">
        <v>36</v>
      </c>
      <c r="K29" s="43">
        <f>IF(H29="",AVERAGEIF(Table1[Product Name],E29,Table1[Price ($)]),H29)</f>
        <v>40</v>
      </c>
    </row>
    <row r="30" spans="1:11" x14ac:dyDescent="0.25">
      <c r="A30" s="10" t="s">
        <v>108</v>
      </c>
      <c r="B30" s="45">
        <f t="shared" si="0"/>
        <v>46166</v>
      </c>
      <c r="C30" s="22" t="s">
        <v>125</v>
      </c>
      <c r="D30" s="22" t="s">
        <v>137</v>
      </c>
      <c r="E30" s="24" t="s">
        <v>93</v>
      </c>
      <c r="F30" s="24" t="s">
        <v>109</v>
      </c>
      <c r="G30" s="24" t="str">
        <f>CONCATENATE(Table1[Product Name]," ",Table1[Brand Name])</f>
        <v>Fitness Tracker Garmin</v>
      </c>
      <c r="H30" s="26">
        <v>130</v>
      </c>
      <c r="I30" s="24">
        <v>5</v>
      </c>
      <c r="J30" s="28" t="s">
        <v>28</v>
      </c>
      <c r="K30" s="43">
        <f>IF(H30="",AVERAGEIF(Table1[Product Name],E30,Table1[Price ($)]),H30)</f>
        <v>130</v>
      </c>
    </row>
    <row r="31" spans="1:11" x14ac:dyDescent="0.25">
      <c r="A31" s="13" t="s">
        <v>110</v>
      </c>
      <c r="B31" s="45">
        <f t="shared" si="0"/>
        <v>46358</v>
      </c>
      <c r="C31" s="22" t="s">
        <v>135</v>
      </c>
      <c r="D31" s="22" t="s">
        <v>137</v>
      </c>
      <c r="E31" s="24" t="s">
        <v>111</v>
      </c>
      <c r="F31" s="24" t="s">
        <v>112</v>
      </c>
      <c r="G31" s="24" t="str">
        <f>CONCATENATE(Table1[Product Name]," ",Table1[Brand Name])</f>
        <v>Jeans Levi's</v>
      </c>
      <c r="H31" s="26">
        <v>50</v>
      </c>
      <c r="I31" s="24">
        <v>50</v>
      </c>
      <c r="J31" s="28" t="s">
        <v>32</v>
      </c>
      <c r="K31" s="43">
        <f>IF(H31="",AVERAGEIF(Table1[Product Name],E31,Table1[Price ($)]),H31)</f>
        <v>50</v>
      </c>
    </row>
    <row r="32" spans="1:11" x14ac:dyDescent="0.25">
      <c r="A32" s="16" t="s">
        <v>113</v>
      </c>
      <c r="B32" s="46">
        <f t="shared" si="0"/>
        <v>46212</v>
      </c>
      <c r="C32" s="22" t="s">
        <v>128</v>
      </c>
      <c r="D32" s="22" t="s">
        <v>143</v>
      </c>
      <c r="E32" s="24" t="s">
        <v>114</v>
      </c>
      <c r="F32" s="24" t="s">
        <v>115</v>
      </c>
      <c r="G32" s="24" t="str">
        <f>CONCATENATE(Table1[Product Name]," ",Table1[Brand Name])</f>
        <v>Watch Casio</v>
      </c>
      <c r="H32" s="26">
        <v>100</v>
      </c>
      <c r="I32" s="24">
        <v>20</v>
      </c>
      <c r="J32" s="28" t="s">
        <v>75</v>
      </c>
      <c r="K32" s="43">
        <f>IF(H32="",AVERAGEIF(Table1[Product Name],E32,Table1[Price ($)]),H32)</f>
        <v>100</v>
      </c>
    </row>
    <row r="33" spans="1:6" x14ac:dyDescent="0.25">
      <c r="A33" s="32"/>
    </row>
    <row r="35" spans="1:6" x14ac:dyDescent="0.25">
      <c r="D35" s="41" t="s">
        <v>147</v>
      </c>
    </row>
    <row r="36" spans="1:6" x14ac:dyDescent="0.25">
      <c r="D36" s="41" t="s">
        <v>148</v>
      </c>
      <c r="F36" s="41"/>
    </row>
  </sheetData>
  <phoneticPr fontId="10" type="noConversion"/>
  <conditionalFormatting sqref="C34:XFD1000 A1001:XFD1048576 A1:XFD33">
    <cfRule type="uniqueValues" dxfId="4" priority="7"/>
  </conditionalFormatting>
  <conditionalFormatting sqref="J1:J32">
    <cfRule type="containsText" dxfId="3" priority="3" operator="containsText" text="Electronics">
      <formula>NOT(ISERROR(SEARCH("Electronics",J1)))</formula>
    </cfRule>
  </conditionalFormatting>
  <conditionalFormatting sqref="J1:J1048576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J2:J32">
    <cfRule type="containsText" dxfId="2" priority="2" operator="containsText" text="Electronics">
      <formula>NOT(ISERROR(SEARCH("Electronics",J2)))</formula>
    </cfRule>
    <cfRule type="iconSet" priority="5">
      <iconSet>
        <cfvo type="percent" val="0"/>
        <cfvo type="percent" val="33"/>
        <cfvo type="percent" val="67"/>
      </iconSet>
    </cfRule>
  </conditionalFormatting>
  <conditionalFormatting sqref="K2:K3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{17C79597-9A83-4C14-8405-5E033C25DF70}</x14:id>
        </ext>
      </extLst>
    </cfRule>
  </conditionalFormatting>
  <conditionalFormatting sqref="K1:XFD1048576 C36:J1048576 C1:J32">
    <cfRule type="duplicateValues" dxfId="1" priority="12"/>
    <cfRule type="duplicateValues" dxfId="0" priority="13"/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C79597-9A83-4C14-8405-5E033C25DF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K2:K32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1033EC-B706-40C8-8386-B2C8338130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Assignment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Fasil EM</dc:creator>
  <cp:lastModifiedBy>Fasil M</cp:lastModifiedBy>
  <dcterms:created xsi:type="dcterms:W3CDTF">2026-04-16T14:53:08Z</dcterms:created>
  <dcterms:modified xsi:type="dcterms:W3CDTF">2026-04-17T14:59:42Z</dcterms:modified>
</cp:coreProperties>
</file>